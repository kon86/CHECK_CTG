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filterPrivacy="1" codeName="ЭтаКнига"/>
  <xr:revisionPtr revIDLastSave="0" documentId="13_ncr:1_{0E11C3C8-E600-1449-B06F-3B83A8FF5EA3}" xr6:coauthVersionLast="47" xr6:coauthVersionMax="47" xr10:uidLastSave="{00000000-0000-0000-0000-000000000000}"/>
  <bookViews>
    <workbookView xWindow="0" yWindow="660" windowWidth="29040" windowHeight="15840" tabRatio="860" xr2:uid="{00000000-000D-0000-FFFF-FFFF00000000}"/>
  </bookViews>
  <sheets>
    <sheet name="СТА за март 2026 года (2ЭС7)" sheetId="114" r:id="rId1"/>
    <sheet name="Пробеги" sheetId="122" r:id="rId2"/>
  </sheets>
  <definedNames>
    <definedName name="_xlnm._FilterDatabase" localSheetId="0" hidden="1">'СТА за март 2026 года (2ЭС7)'!$A$13:$AL$47</definedName>
    <definedName name="_Toc410296219" localSheetId="0">'СТА за март 2026 года (2ЭС7)'!$A$78</definedName>
    <definedName name="_Toc410296220" localSheetId="0">'СТА за март 2026 года (2ЭС7)'!$A$82</definedName>
    <definedName name="_Toc410296221" localSheetId="0">'СТА за март 2026 года (2ЭС7)'!$A$85</definedName>
    <definedName name="_Toc410296222" localSheetId="0">'СТА за март 2026 года (2ЭС7)'!$A$87</definedName>
    <definedName name="_xlnm.Print_Area" localSheetId="0">'СТА за март 2026 года (2ЭС7)'!$A$1:$Q$106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3" i="114" l="1"/>
  <c r="S20" i="114"/>
  <c r="S18" i="114"/>
  <c r="E47" i="122" l="1"/>
  <c r="E73" i="114"/>
  <c r="E68" i="114"/>
  <c r="E63" i="114"/>
  <c r="E57" i="114"/>
  <c r="E53" i="114" l="1"/>
  <c r="E47" i="114"/>
  <c r="E42" i="114"/>
  <c r="E38" i="114"/>
  <c r="E34" i="114"/>
  <c r="E30" i="114"/>
  <c r="E26" i="114"/>
  <c r="E22" i="114"/>
  <c r="E18" i="114"/>
  <c r="Z81" i="114" l="1"/>
  <c r="Z95" i="114"/>
  <c r="U71" i="114" l="1"/>
  <c r="P71" i="114"/>
  <c r="Q71" i="114" s="1"/>
  <c r="O71" i="114"/>
  <c r="N71" i="114"/>
  <c r="J71" i="114"/>
  <c r="U40" i="114"/>
  <c r="V40" i="114" s="1"/>
  <c r="P40" i="114"/>
  <c r="Q40" i="114" s="1"/>
  <c r="O40" i="114"/>
  <c r="N40" i="114"/>
  <c r="J40" i="114"/>
  <c r="U66" i="114"/>
  <c r="P66" i="114"/>
  <c r="Q66" i="114" s="1"/>
  <c r="O66" i="114"/>
  <c r="N66" i="114"/>
  <c r="J66" i="114"/>
  <c r="Z94" i="114"/>
  <c r="Z93" i="114"/>
  <c r="Z80" i="114"/>
  <c r="Z79" i="114"/>
  <c r="V71" i="114" l="1"/>
  <c r="V66" i="114"/>
  <c r="U65" i="114"/>
  <c r="P65" i="114"/>
  <c r="Q65" i="114" s="1"/>
  <c r="O65" i="114"/>
  <c r="N65" i="114"/>
  <c r="J65" i="114"/>
  <c r="U20" i="114"/>
  <c r="P20" i="114"/>
  <c r="Q20" i="114" s="1"/>
  <c r="O20" i="114"/>
  <c r="N20" i="114"/>
  <c r="J20" i="114"/>
  <c r="V65" i="114" l="1"/>
  <c r="V20" i="114"/>
  <c r="U55" i="114"/>
  <c r="P55" i="114"/>
  <c r="Q55" i="114" s="1"/>
  <c r="O55" i="114"/>
  <c r="N55" i="114"/>
  <c r="J55" i="114"/>
  <c r="U51" i="114"/>
  <c r="P51" i="114"/>
  <c r="Q51" i="114" s="1"/>
  <c r="O51" i="114"/>
  <c r="N51" i="114"/>
  <c r="J51" i="114"/>
  <c r="U45" i="114"/>
  <c r="P45" i="114"/>
  <c r="Q45" i="114" s="1"/>
  <c r="O45" i="114"/>
  <c r="N45" i="114"/>
  <c r="J45" i="114"/>
  <c r="U44" i="114"/>
  <c r="V44" i="114" s="1"/>
  <c r="P44" i="114"/>
  <c r="Q44" i="114" s="1"/>
  <c r="O44" i="114"/>
  <c r="N44" i="114"/>
  <c r="J44" i="114"/>
  <c r="U32" i="114"/>
  <c r="V32" i="114" s="1"/>
  <c r="P32" i="114"/>
  <c r="Q32" i="114" s="1"/>
  <c r="O32" i="114"/>
  <c r="N32" i="114"/>
  <c r="J32" i="114"/>
  <c r="U16" i="114"/>
  <c r="P16" i="114"/>
  <c r="Q16" i="114" s="1"/>
  <c r="O16" i="114"/>
  <c r="N16" i="114"/>
  <c r="J16" i="114"/>
  <c r="V55" i="114" l="1"/>
  <c r="V51" i="114"/>
  <c r="V16" i="114"/>
  <c r="U36" i="114"/>
  <c r="P36" i="114"/>
  <c r="Q36" i="114" s="1"/>
  <c r="G84" i="114" s="1"/>
  <c r="O36" i="114"/>
  <c r="N36" i="114"/>
  <c r="J36" i="114"/>
  <c r="U28" i="114" l="1"/>
  <c r="P28" i="114"/>
  <c r="Q28" i="114" s="1"/>
  <c r="O28" i="114"/>
  <c r="N28" i="114"/>
  <c r="J28" i="114"/>
  <c r="V28" i="114" l="1"/>
  <c r="U61" i="114"/>
  <c r="V61" i="114" s="1"/>
  <c r="P61" i="114"/>
  <c r="Q61" i="114" s="1"/>
  <c r="O61" i="114"/>
  <c r="N61" i="114"/>
  <c r="J61" i="114"/>
  <c r="U60" i="114"/>
  <c r="V60" i="114" s="1"/>
  <c r="P60" i="114"/>
  <c r="Q60" i="114" s="1"/>
  <c r="O60" i="114"/>
  <c r="N60" i="114"/>
  <c r="J60" i="114"/>
  <c r="Z92" i="114"/>
  <c r="Z78" i="114"/>
  <c r="S22" i="114" s="1"/>
  <c r="U54" i="114"/>
  <c r="P54" i="114"/>
  <c r="Q54" i="114" s="1"/>
  <c r="O54" i="114"/>
  <c r="N54" i="114"/>
  <c r="J54" i="114"/>
  <c r="U24" i="114"/>
  <c r="P24" i="114"/>
  <c r="Q24" i="114" s="1"/>
  <c r="O24" i="114"/>
  <c r="N24" i="114"/>
  <c r="J24" i="114"/>
  <c r="U15" i="114"/>
  <c r="P15" i="114"/>
  <c r="Q15" i="114" s="1"/>
  <c r="O15" i="114"/>
  <c r="N15" i="114"/>
  <c r="J15" i="114"/>
  <c r="U70" i="114"/>
  <c r="P70" i="114"/>
  <c r="Q70" i="114" s="1"/>
  <c r="O70" i="114"/>
  <c r="N70" i="114"/>
  <c r="J70" i="114"/>
  <c r="U59" i="114"/>
  <c r="P59" i="114"/>
  <c r="Q59" i="114" s="1"/>
  <c r="O59" i="114"/>
  <c r="N59" i="114"/>
  <c r="J59" i="114"/>
  <c r="U14" i="114"/>
  <c r="U17" i="114" s="1"/>
  <c r="U43" i="114"/>
  <c r="V43" i="114" s="1"/>
  <c r="P43" i="114"/>
  <c r="Q43" i="114" s="1"/>
  <c r="O43" i="114"/>
  <c r="N43" i="114"/>
  <c r="J43" i="114"/>
  <c r="V116" i="114"/>
  <c r="U69" i="114"/>
  <c r="U72" i="114" s="1"/>
  <c r="P69" i="114"/>
  <c r="Q69" i="114" s="1"/>
  <c r="O69" i="114"/>
  <c r="N69" i="114"/>
  <c r="J69" i="114"/>
  <c r="U64" i="114"/>
  <c r="U67" i="114" s="1"/>
  <c r="P64" i="114"/>
  <c r="Q64" i="114" s="1"/>
  <c r="O64" i="114"/>
  <c r="N64" i="114"/>
  <c r="J64" i="114"/>
  <c r="U58" i="114"/>
  <c r="U62" i="114" s="1"/>
  <c r="P58" i="114"/>
  <c r="Q58" i="114" s="1"/>
  <c r="O58" i="114"/>
  <c r="N58" i="114"/>
  <c r="J58" i="114"/>
  <c r="U50" i="114"/>
  <c r="U52" i="114" s="1"/>
  <c r="P50" i="114"/>
  <c r="Q50" i="114" s="1"/>
  <c r="O50" i="114"/>
  <c r="N50" i="114"/>
  <c r="J50" i="114"/>
  <c r="U39" i="114"/>
  <c r="P39" i="114"/>
  <c r="Q39" i="114" s="1"/>
  <c r="O39" i="114"/>
  <c r="N39" i="114"/>
  <c r="J39" i="114"/>
  <c r="U35" i="114"/>
  <c r="V35" i="114" s="1"/>
  <c r="P35" i="114"/>
  <c r="Q35" i="114" s="1"/>
  <c r="O35" i="114"/>
  <c r="N35" i="114"/>
  <c r="J35" i="114"/>
  <c r="U31" i="114"/>
  <c r="V31" i="114" s="1"/>
  <c r="P31" i="114"/>
  <c r="Q31" i="114" s="1"/>
  <c r="O31" i="114"/>
  <c r="N31" i="114"/>
  <c r="J31" i="114"/>
  <c r="U27" i="114"/>
  <c r="U29" i="114" s="1"/>
  <c r="P27" i="114"/>
  <c r="Q27" i="114" s="1"/>
  <c r="O27" i="114"/>
  <c r="N27" i="114"/>
  <c r="J27" i="114"/>
  <c r="U23" i="114"/>
  <c r="P23" i="114"/>
  <c r="Q23" i="114" s="1"/>
  <c r="O23" i="114"/>
  <c r="N23" i="114"/>
  <c r="J23" i="114"/>
  <c r="U19" i="114"/>
  <c r="U21" i="114" s="1"/>
  <c r="P19" i="114"/>
  <c r="Q19" i="114" s="1"/>
  <c r="O19" i="114"/>
  <c r="N19" i="114"/>
  <c r="J19" i="114"/>
  <c r="P14" i="114"/>
  <c r="Q14" i="114" s="1"/>
  <c r="O14" i="114"/>
  <c r="N14" i="114"/>
  <c r="J14" i="114"/>
  <c r="G85" i="114" l="1"/>
  <c r="S17" i="114" s="1"/>
  <c r="S16" i="114" s="1"/>
  <c r="V39" i="114"/>
  <c r="U42" i="114"/>
  <c r="V54" i="114"/>
  <c r="V56" i="114" s="1"/>
  <c r="U56" i="114"/>
  <c r="V27" i="114"/>
  <c r="V29" i="114" s="1"/>
  <c r="V24" i="114"/>
  <c r="U25" i="114"/>
  <c r="Q74" i="114"/>
  <c r="G83" i="114" s="1"/>
  <c r="V15" i="114"/>
  <c r="V70" i="114"/>
  <c r="V59" i="114"/>
  <c r="V19" i="114"/>
  <c r="V21" i="114" s="1"/>
  <c r="V23" i="114"/>
  <c r="V50" i="114"/>
  <c r="V52" i="114" s="1"/>
  <c r="V58" i="114"/>
  <c r="V64" i="114"/>
  <c r="V67" i="114" s="1"/>
  <c r="V69" i="114"/>
  <c r="V14" i="114"/>
  <c r="V17" i="114" s="1"/>
  <c r="V72" i="114" l="1"/>
  <c r="V62" i="114"/>
  <c r="S21" i="114" s="1"/>
  <c r="V25" i="114"/>
  <c r="X127" i="114"/>
  <c r="X126" i="114"/>
  <c r="X125" i="114"/>
  <c r="X124" i="114"/>
  <c r="X123" i="114"/>
  <c r="X122" i="114"/>
  <c r="X121" i="114"/>
  <c r="X120" i="114"/>
  <c r="X119" i="114"/>
  <c r="X118" i="114"/>
  <c r="X117" i="114"/>
  <c r="X116" i="114"/>
  <c r="V42" i="114" l="1"/>
  <c r="U38" i="114" l="1"/>
  <c r="V47" i="114" l="1"/>
  <c r="U34" i="114" l="1"/>
  <c r="V34" i="114" l="1"/>
  <c r="V38" i="114" l="1"/>
  <c r="U47" i="114"/>
  <c r="U73" i="114" s="1"/>
  <c r="V73" i="114" l="1"/>
  <c r="G87" i="114" s="1"/>
  <c r="S19" i="114" s="1"/>
  <c r="G82" i="114"/>
  <c r="S14" i="114" s="1"/>
  <c r="F73" i="114"/>
  <c r="F68" i="114"/>
  <c r="H68" i="114" s="1"/>
  <c r="F63" i="114"/>
  <c r="H63" i="114" s="1"/>
  <c r="F57" i="114"/>
  <c r="H57" i="114" s="1"/>
  <c r="F53" i="114"/>
  <c r="H53" i="114" s="1"/>
  <c r="F47" i="114"/>
  <c r="H47" i="114" s="1"/>
  <c r="F42" i="114"/>
  <c r="H42" i="114" s="1"/>
  <c r="F38" i="114"/>
  <c r="H38" i="114" s="1"/>
  <c r="F34" i="114"/>
  <c r="H34" i="114" s="1"/>
  <c r="F30" i="114"/>
  <c r="H30" i="114" s="1"/>
  <c r="F26" i="114"/>
  <c r="H26" i="114" s="1"/>
  <c r="F22" i="114"/>
  <c r="H22" i="114" s="1"/>
  <c r="G88" i="114" l="1"/>
  <c r="H73" i="114"/>
  <c r="F18" i="114"/>
  <c r="H18" i="114" s="1"/>
  <c r="G78" i="114" l="1"/>
  <c r="S15" i="11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U14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U15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код №532</t>
        </r>
      </text>
    </comment>
    <comment ref="U16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U19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U20" authorId="0" shapeId="0" xr:uid="{00000000-0006-0000-0000-000005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U23" authorId="0" shapeId="0" xr:uid="{00000000-0006-0000-0000-000006000000}">
      <text>
        <r>
          <rPr>
            <b/>
            <sz val="9"/>
            <color indexed="81"/>
            <rFont val="Tahoma"/>
            <family val="2"/>
            <charset val="204"/>
          </rPr>
          <t>код №535</t>
        </r>
      </text>
    </comment>
    <comment ref="U24" authorId="0" shapeId="0" xr:uid="{00000000-0006-0000-0000-000007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U27" authorId="0" shapeId="0" xr:uid="{00000000-0006-0000-0000-000008000000}">
      <text>
        <r>
          <rPr>
            <b/>
            <sz val="9"/>
            <color indexed="81"/>
            <rFont val="Tahoma"/>
            <family val="2"/>
            <charset val="204"/>
          </rPr>
          <t>код №532</t>
        </r>
      </text>
    </comment>
    <comment ref="U28" authorId="0" shapeId="0" xr:uid="{00000000-0006-0000-0000-000009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U31" authorId="0" shapeId="0" xr:uid="{00000000-0006-0000-0000-00000A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U32" authorId="0" shapeId="0" xr:uid="{00000000-0006-0000-0000-00000B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U35" authorId="0" shapeId="0" xr:uid="{00000000-0006-0000-0000-00000C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U36" authorId="0" shapeId="0" xr:uid="{00000000-0006-0000-0000-00000D000000}">
      <text>
        <r>
          <rPr>
            <b/>
            <sz val="9"/>
            <color indexed="81"/>
            <rFont val="Tahoma"/>
            <family val="2"/>
            <charset val="204"/>
          </rPr>
          <t>код №532</t>
        </r>
      </text>
    </comment>
    <comment ref="U39" authorId="0" shapeId="0" xr:uid="{00000000-0006-0000-0000-00000E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U40" authorId="0" shapeId="0" xr:uid="{00000000-0006-0000-0000-00000F000000}">
      <text>
        <r>
          <rPr>
            <b/>
            <sz val="9"/>
            <color indexed="81"/>
            <rFont val="Tahoma"/>
            <family val="2"/>
            <charset val="204"/>
          </rPr>
          <t>код №535</t>
        </r>
      </text>
    </comment>
    <comment ref="U43" authorId="0" shapeId="0" xr:uid="{00000000-0006-0000-0000-000010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U44" authorId="0" shapeId="0" xr:uid="{00000000-0006-0000-0000-000011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U45" authorId="0" shapeId="0" xr:uid="{00000000-0006-0000-0000-000012000000}">
      <text>
        <r>
          <rPr>
            <b/>
            <sz val="9"/>
            <color indexed="81"/>
            <rFont val="Tahoma"/>
            <family val="2"/>
            <charset val="204"/>
          </rPr>
          <t>код №532</t>
        </r>
      </text>
    </comment>
    <comment ref="U46" authorId="0" shapeId="0" xr:uid="{00000000-0006-0000-0000-000013000000}">
      <text>
        <r>
          <rPr>
            <b/>
            <sz val="9"/>
            <color indexed="81"/>
            <rFont val="Tahoma"/>
            <family val="2"/>
            <charset val="204"/>
          </rPr>
          <t>код №532</t>
        </r>
      </text>
    </comment>
    <comment ref="U50" authorId="0" shapeId="0" xr:uid="{00000000-0006-0000-0000-000014000000}">
      <text>
        <r>
          <rPr>
            <b/>
            <sz val="9"/>
            <color indexed="81"/>
            <rFont val="Tahoma"/>
            <family val="2"/>
            <charset val="204"/>
          </rPr>
          <t>код №535</t>
        </r>
      </text>
    </comment>
    <comment ref="U51" authorId="0" shapeId="0" xr:uid="{00000000-0006-0000-0000-000015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U54" authorId="0" shapeId="0" xr:uid="{00000000-0006-0000-0000-000016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U55" authorId="0" shapeId="0" xr:uid="{00000000-0006-0000-0000-000017000000}">
      <text>
        <r>
          <rPr>
            <b/>
            <sz val="9"/>
            <color indexed="81"/>
            <rFont val="Tahoma"/>
            <family val="2"/>
            <charset val="204"/>
          </rPr>
          <t>код №532</t>
        </r>
      </text>
    </comment>
    <comment ref="U58" authorId="0" shapeId="0" xr:uid="{00000000-0006-0000-0000-000018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U59" authorId="0" shapeId="0" xr:uid="{00000000-0006-0000-0000-000019000000}">
      <text>
        <r>
          <rPr>
            <b/>
            <sz val="9"/>
            <color indexed="81"/>
            <rFont val="Tahoma"/>
            <family val="2"/>
            <charset val="204"/>
          </rPr>
          <t>код №535</t>
        </r>
      </text>
    </comment>
    <comment ref="U60" authorId="0" shapeId="0" xr:uid="{00000000-0006-0000-0000-00001A000000}">
      <text>
        <r>
          <rPr>
            <b/>
            <sz val="9"/>
            <color indexed="81"/>
            <rFont val="Tahoma"/>
            <family val="2"/>
            <charset val="204"/>
          </rPr>
          <t>код №532</t>
        </r>
      </text>
    </comment>
    <comment ref="U61" authorId="0" shapeId="0" xr:uid="{00000000-0006-0000-0000-00001B000000}">
      <text>
        <r>
          <rPr>
            <b/>
            <sz val="9"/>
            <color indexed="81"/>
            <rFont val="Tahoma"/>
            <family val="2"/>
            <charset val="204"/>
          </rPr>
          <t>код №535</t>
        </r>
      </text>
    </comment>
    <comment ref="U64" authorId="0" shapeId="0" xr:uid="{00000000-0006-0000-0000-00001C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U65" authorId="0" shapeId="0" xr:uid="{00000000-0006-0000-0000-00001D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U66" authorId="0" shapeId="0" xr:uid="{00000000-0006-0000-0000-00001E000000}">
      <text>
        <r>
          <rPr>
            <b/>
            <sz val="9"/>
            <color indexed="81"/>
            <rFont val="Tahoma"/>
            <family val="2"/>
            <charset val="204"/>
          </rPr>
          <t>код №532</t>
        </r>
      </text>
    </comment>
    <comment ref="U69" authorId="0" shapeId="0" xr:uid="{00000000-0006-0000-0000-00001F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U70" authorId="0" shapeId="0" xr:uid="{00000000-0006-0000-0000-000020000000}">
      <text>
        <r>
          <rPr>
            <b/>
            <sz val="9"/>
            <color indexed="81"/>
            <rFont val="Tahoma"/>
            <family val="2"/>
            <charset val="204"/>
          </rPr>
          <t>код №532</t>
        </r>
      </text>
    </comment>
    <comment ref="U71" authorId="0" shapeId="0" xr:uid="{00000000-0006-0000-0000-000021000000}">
      <text>
        <r>
          <rPr>
            <b/>
            <sz val="9"/>
            <color indexed="81"/>
            <rFont val="Tahoma"/>
            <family val="2"/>
            <charset val="204"/>
          </rPr>
          <t>код №106</t>
        </r>
      </text>
    </comment>
    <comment ref="W78" authorId="0" shapeId="0" xr:uid="{00000000-0006-0000-0000-000022000000}">
      <text>
        <r>
          <rPr>
            <b/>
            <sz val="9"/>
            <color indexed="81"/>
            <rFont val="Tahoma"/>
            <family val="2"/>
            <charset val="204"/>
          </rPr>
          <t>Акт №193</t>
        </r>
      </text>
    </comment>
    <comment ref="W79" authorId="0" shapeId="0" xr:uid="{00000000-0006-0000-0000-000023000000}">
      <text>
        <r>
          <rPr>
            <b/>
            <sz val="9"/>
            <color indexed="81"/>
            <rFont val="Tahoma"/>
            <family val="2"/>
            <charset val="204"/>
          </rPr>
          <t>Акт №250</t>
        </r>
      </text>
    </comment>
    <comment ref="W80" authorId="0" shapeId="0" xr:uid="{00000000-0006-0000-0000-000024000000}">
      <text>
        <r>
          <rPr>
            <b/>
            <sz val="9"/>
            <color indexed="81"/>
            <rFont val="Tahoma"/>
            <family val="2"/>
            <charset val="204"/>
          </rPr>
          <t>Акт №264</t>
        </r>
      </text>
    </comment>
    <comment ref="W81" authorId="0" shapeId="0" xr:uid="{00000000-0006-0000-0000-000025000000}">
      <text>
        <r>
          <rPr>
            <b/>
            <sz val="9"/>
            <color indexed="81"/>
            <rFont val="Tahoma"/>
            <family val="2"/>
            <charset val="204"/>
          </rPr>
          <t xml:space="preserve">Акт №278
</t>
        </r>
      </text>
    </comment>
  </commentList>
</comments>
</file>

<file path=xl/sharedStrings.xml><?xml version="1.0" encoding="utf-8"?>
<sst xmlns="http://schemas.openxmlformats.org/spreadsheetml/2006/main" count="520" uniqueCount="293">
  <si>
    <t>Серия локомотива</t>
  </si>
  <si>
    <t>ИТОГО по лок-ву в хоз.движении</t>
  </si>
  <si>
    <t>ИТОГО по лок-ву в обычном движении</t>
  </si>
  <si>
    <t>№ п/п</t>
  </si>
  <si>
    <t>Фактический пробег локомотива рассчитывается по данным информационной системы в соответствии с условиями договора</t>
  </si>
  <si>
    <t>Дата постановки Локомотива в ремонт</t>
  </si>
  <si>
    <t>Время постановки Локомотива в ремонт</t>
  </si>
  <si>
    <t>Вид ремонта</t>
  </si>
  <si>
    <t>№ Акта приемки Локомотива из ремонта</t>
  </si>
  <si>
    <t>2ЭС7</t>
  </si>
  <si>
    <t>Дата постановки в ОЖ. ТО-2, ОЖ. ТО-2 с экипировкой,ож ТР,ож НЕПЛ РЕМ</t>
  </si>
  <si>
    <t>Время в ОЖ.</t>
  </si>
  <si>
    <t>Неплановый ремонт по вине ОАО "РЖД". Выдержка из истории локомотива АСУТЦТ</t>
  </si>
  <si>
    <t>Дата</t>
  </si>
  <si>
    <t>Состояние</t>
  </si>
  <si>
    <t>Операция</t>
  </si>
  <si>
    <t>Дислокация</t>
  </si>
  <si>
    <t>Количество часов нахождения в эксплуатации:</t>
  </si>
  <si>
    <t>Количество часов нахождения на Обслуживании:</t>
  </si>
  <si>
    <t>Количество часов пробега в обычном движении, подлежащего оплате, составил:</t>
  </si>
  <si>
    <t>Количество часов нахождения на непредвиденном Обслуживании:</t>
  </si>
  <si>
    <t>Количество часов нахождения на Обслуживании по рекламационным ремонтам:</t>
  </si>
  <si>
    <t>Количество часов административных издержек:</t>
  </si>
  <si>
    <t>Коэффициент готовности к эксплуатации по данной серии составил:</t>
  </si>
  <si>
    <t>ноября</t>
  </si>
  <si>
    <t>апреля</t>
  </si>
  <si>
    <t>мая</t>
  </si>
  <si>
    <t>июля</t>
  </si>
  <si>
    <t>августа</t>
  </si>
  <si>
    <t>сентября</t>
  </si>
  <si>
    <t>октября</t>
  </si>
  <si>
    <t>декабря</t>
  </si>
  <si>
    <t>Номер Локомотива</t>
  </si>
  <si>
    <t>Кол-во секций</t>
  </si>
  <si>
    <t>Фактический пробег (часы в эксплуатации) всех секций локомотива без превышения межремонтного периода км/час</t>
  </si>
  <si>
    <t>Фактический пробег (часы в эксплуатации) всех секций локомотива с превышением межремонтного периода км/час</t>
  </si>
  <si>
    <t>Дата выхода Локомотива из           ремонта</t>
  </si>
  <si>
    <t>Время в ОЖ. За вычетом 1 часа в ИСПРАВНОМ состоянии</t>
  </si>
  <si>
    <t>Итого часов в хоз.движении</t>
  </si>
  <si>
    <t>Итого часов в обычном движении</t>
  </si>
  <si>
    <t>Итого часов (доли)</t>
  </si>
  <si>
    <t>Количество км.пробега подлежащего оплате составил:</t>
  </si>
  <si>
    <t>Серия</t>
  </si>
  <si>
    <t>Номер</t>
  </si>
  <si>
    <t>время </t>
  </si>
  <si>
    <t>Количество часов нахождения на Обслуживании по вине Исполнителя:</t>
  </si>
  <si>
    <t>Фактический пробег (часы в эксплуатации) всех секций локомотива за месяц,  подлежащий оплате км/час</t>
  </si>
  <si>
    <t>002</t>
  </si>
  <si>
    <t>марта</t>
  </si>
  <si>
    <t>февраля</t>
  </si>
  <si>
    <t>января</t>
  </si>
  <si>
    <t>Настоящий Акт составлен по серии Локомотивов</t>
  </si>
  <si>
    <t>Пробеги всех секций локомотива заполняются только в итоговой строке по этому локомотиву</t>
  </si>
  <si>
    <t>001</t>
  </si>
  <si>
    <t>ТО-2</t>
  </si>
  <si>
    <t>003</t>
  </si>
  <si>
    <t>июня</t>
  </si>
  <si>
    <t>004</t>
  </si>
  <si>
    <t>005</t>
  </si>
  <si>
    <t>006</t>
  </si>
  <si>
    <t>007</t>
  </si>
  <si>
    <t>Фактический пробег (часы в эксплуатации) всех секций локомотива с превышением межремонтного периода,   допущенный по вине  Исполнителя км/час</t>
  </si>
  <si>
    <t>008</t>
  </si>
  <si>
    <t>009</t>
  </si>
  <si>
    <t>010</t>
  </si>
  <si>
    <t>011</t>
  </si>
  <si>
    <t>012</t>
  </si>
  <si>
    <t>Кол-во часов нахождения в ремонте одной секции</t>
  </si>
  <si>
    <t>Время выхода Локомотива из ремонта</t>
  </si>
  <si>
    <t>Количество часов нахождения всех  секций в ремонте  (суммарно)</t>
  </si>
  <si>
    <t>013</t>
  </si>
  <si>
    <t>№ Акта приемки Локомотива в ремонт</t>
  </si>
  <si>
    <t>Страница 1 из 2</t>
  </si>
  <si>
    <t>Неплановый ремонт по вине "УЛ". Выдержка из истории локомотива АСУТЦТ</t>
  </si>
  <si>
    <t>НР</t>
  </si>
  <si>
    <t>Время из работоспособного состояния</t>
  </si>
  <si>
    <t>ОЖ.ОТПР.НР / ОЖ.НР/СЛ В РЕМ.</t>
  </si>
  <si>
    <r>
      <t>Количество часов пробега в хоз.движении, подлежащего оплате, составил:</t>
    </r>
    <r>
      <rPr>
        <u/>
        <sz val="14"/>
        <rFont val="Times New Roman"/>
        <family val="1"/>
        <charset val="204"/>
      </rPr>
      <t xml:space="preserve">  </t>
    </r>
  </si>
  <si>
    <t>01-03-26 03:19</t>
  </si>
  <si>
    <t>01-03-26 01:16</t>
  </si>
  <si>
    <t>28-02-26 16:45</t>
  </si>
  <si>
    <t>01-03-26 07:17</t>
  </si>
  <si>
    <t>01-03-26 05:12</t>
  </si>
  <si>
    <t>28-02-26 19:13</t>
  </si>
  <si>
    <t>01-03-26 11:26</t>
  </si>
  <si>
    <t>01-03-26 07:44</t>
  </si>
  <si>
    <t>28-02-26 16:40</t>
  </si>
  <si>
    <t>28-02-26 23:38</t>
  </si>
  <si>
    <t>01-03-26 13:28</t>
  </si>
  <si>
    <t>ТР-1</t>
  </si>
  <si>
    <t>02-03-26 09:41</t>
  </si>
  <si>
    <t>01-03-26 14:48</t>
  </si>
  <si>
    <t>01-03-26 15:09</t>
  </si>
  <si>
    <t>№464</t>
  </si>
  <si>
    <t>№466</t>
  </si>
  <si>
    <t>№468</t>
  </si>
  <si>
    <t>№25</t>
  </si>
  <si>
    <t>01-03-26 22:26</t>
  </si>
  <si>
    <t>ТО-4</t>
  </si>
  <si>
    <t>03-03-26 09:49</t>
  </si>
  <si>
    <t>04-03-26 06:26</t>
  </si>
  <si>
    <t>04-03-26 10:50</t>
  </si>
  <si>
    <t>04-03-26 12:54</t>
  </si>
  <si>
    <t>05-03-26 21:51</t>
  </si>
  <si>
    <t>06-03-26 00:55</t>
  </si>
  <si>
    <t>06-03-26 03:05</t>
  </si>
  <si>
    <t>07-03-26 11:10</t>
  </si>
  <si>
    <t>09-03-26 11:21</t>
  </si>
  <si>
    <t>06-03-26 09:08</t>
  </si>
  <si>
    <t>06-03-26 13:14</t>
  </si>
  <si>
    <t>06-03-26 15:18</t>
  </si>
  <si>
    <t>07-03-26 09:11</t>
  </si>
  <si>
    <t>07-03-26 16:57</t>
  </si>
  <si>
    <t>07-03-26 19:02</t>
  </si>
  <si>
    <t>№486</t>
  </si>
  <si>
    <t>04-03-26 15:31</t>
  </si>
  <si>
    <t>№508</t>
  </si>
  <si>
    <t>№502</t>
  </si>
  <si>
    <t>10-03-26 03:16</t>
  </si>
  <si>
    <t>10-03-26 14:57</t>
  </si>
  <si>
    <t>10-03-26 19:27</t>
  </si>
  <si>
    <t>10-03-26 22:30</t>
  </si>
  <si>
    <t>07-03-26 21:01</t>
  </si>
  <si>
    <t>11-03-26 18:48</t>
  </si>
  <si>
    <t>11-03-26 23:28</t>
  </si>
  <si>
    <t>12-03-26 16:08</t>
  </si>
  <si>
    <t>12-03-26 18:04</t>
  </si>
  <si>
    <t>№231</t>
  </si>
  <si>
    <t>№216</t>
  </si>
  <si>
    <t>№213</t>
  </si>
  <si>
    <t>№5</t>
  </si>
  <si>
    <t>05-03-26 18:11</t>
  </si>
  <si>
    <t>№6</t>
  </si>
  <si>
    <t>16-03-26 02:17</t>
  </si>
  <si>
    <t>16-03-26 03:10</t>
  </si>
  <si>
    <t>16-03-26 05:06</t>
  </si>
  <si>
    <t>ОЖ.НР.</t>
  </si>
  <si>
    <t>01-03-26 14:47</t>
  </si>
  <si>
    <t>РЦ-15 Бабаево</t>
  </si>
  <si>
    <t>16-03-26 13:38</t>
  </si>
  <si>
    <t>16-03-26 14:24</t>
  </si>
  <si>
    <t>16-03-26 14:23</t>
  </si>
  <si>
    <t>16-03-26 16:27</t>
  </si>
  <si>
    <t>13-03-26 05:28</t>
  </si>
  <si>
    <t>№570</t>
  </si>
  <si>
    <t>17-03-26 20:31</t>
  </si>
  <si>
    <t>18-03-26 00:30</t>
  </si>
  <si>
    <t>18-03-26 02:41</t>
  </si>
  <si>
    <t>№34</t>
  </si>
  <si>
    <t>17-03-26 22:14</t>
  </si>
  <si>
    <t>18-03-26 21:29</t>
  </si>
  <si>
    <t>18-03-26 23:07</t>
  </si>
  <si>
    <t>19-03-26 01:04</t>
  </si>
  <si>
    <t>18-03-26 09:33</t>
  </si>
  <si>
    <t>18-03-26 16:44</t>
  </si>
  <si>
    <t>18-03-26 19:14</t>
  </si>
  <si>
    <t>18-03-26 19:13</t>
  </si>
  <si>
    <t>№580</t>
  </si>
  <si>
    <t>22-03-26 14:19</t>
  </si>
  <si>
    <t>22-03-26 16:46</t>
  </si>
  <si>
    <t>22-03-26 18:50</t>
  </si>
  <si>
    <t>23-03-26 17:13</t>
  </si>
  <si>
    <t>24-03-26 00:44</t>
  </si>
  <si>
    <t>24-03-26 01:43</t>
  </si>
  <si>
    <t>24-03-26 02:02</t>
  </si>
  <si>
    <t>24-03-26 02:04</t>
  </si>
  <si>
    <t>24-03-26 04:23</t>
  </si>
  <si>
    <t>23-03-26 19:25</t>
  </si>
  <si>
    <t>21-03-26 18:12</t>
  </si>
  <si>
    <t>21-03-26 21:04</t>
  </si>
  <si>
    <t>21-03-26 23:34</t>
  </si>
  <si>
    <t>23-03-26 09:57</t>
  </si>
  <si>
    <t>23-03-26 12:48</t>
  </si>
  <si>
    <t>23-03-26 14:49</t>
  </si>
  <si>
    <t>20-03-26 20:37</t>
  </si>
  <si>
    <t>21-03-26 01:08</t>
  </si>
  <si>
    <t>21-03-26 03:38</t>
  </si>
  <si>
    <t>21-03-26 03:37</t>
  </si>
  <si>
    <t>21-03-26 05:04</t>
  </si>
  <si>
    <t>№616</t>
  </si>
  <si>
    <t>№583</t>
  </si>
  <si>
    <t>№246</t>
  </si>
  <si>
    <t>№255</t>
  </si>
  <si>
    <t>№252</t>
  </si>
  <si>
    <t>№585</t>
  </si>
  <si>
    <t>№628</t>
  </si>
  <si>
    <t>№609</t>
  </si>
  <si>
    <t>№621</t>
  </si>
  <si>
    <t>№603</t>
  </si>
  <si>
    <t>№516</t>
  </si>
  <si>
    <t>24-03-26 18:44</t>
  </si>
  <si>
    <t>25-03-26 00:47</t>
  </si>
  <si>
    <t>25-03-26 02:48</t>
  </si>
  <si>
    <t>№636</t>
  </si>
  <si>
    <t>25-03-26 08:29</t>
  </si>
  <si>
    <t>25-03-26 09:58</t>
  </si>
  <si>
    <t>25-03-26 13:29</t>
  </si>
  <si>
    <t>26-03-26 03:04</t>
  </si>
  <si>
    <t>№236</t>
  </si>
  <si>
    <t>26-03-26 09:04</t>
  </si>
  <si>
    <t>24-03-26 00:43</t>
  </si>
  <si>
    <t>25-03-26 09:57</t>
  </si>
  <si>
    <t>26-03-26 11:03</t>
  </si>
  <si>
    <t>№648</t>
  </si>
  <si>
    <t>26-03-26 12:24</t>
  </si>
  <si>
    <t>26-03-26 14:23</t>
  </si>
  <si>
    <t>26-03-26 15:51</t>
  </si>
  <si>
    <t>26-03-26 12:58</t>
  </si>
  <si>
    <t>30-03-26 02:08</t>
  </si>
  <si>
    <t>30-03-26 06:34</t>
  </si>
  <si>
    <t>27-03-26 18:26</t>
  </si>
  <si>
    <t>28-03-26 15:11</t>
  </si>
  <si>
    <t>28-03-26 22:11</t>
  </si>
  <si>
    <t>29-03-26 16:25</t>
  </si>
  <si>
    <t>29-03-26 20:46</t>
  </si>
  <si>
    <t>29-03-26 22:54</t>
  </si>
  <si>
    <t>№8</t>
  </si>
  <si>
    <t>№674</t>
  </si>
  <si>
    <t>№269</t>
  </si>
  <si>
    <t>30-03-26 06:33</t>
  </si>
  <si>
    <t>30-03-26 10:33</t>
  </si>
  <si>
    <t>Отчёт по пробегам секций локомотивов, времени пребывания локомотивов в эксплуатируемом и неэксплуатируемом парках</t>
  </si>
  <si>
    <t>Дата и время выдачи справки: 2026-04-01 05.19</t>
  </si>
  <si>
    <t>Начало интервала: 2026-02-28 18.00.00</t>
  </si>
  <si>
    <t>Окончание интервала: 2026-03-31 18.00.00</t>
  </si>
  <si>
    <t>Дирекция тяги приписки: Октябрьская</t>
  </si>
  <si>
    <t>Депо приписки: ТЧЭ-22 БАБАЕВО</t>
  </si>
  <si>
    <t>Вид тяги: электровозы</t>
  </si>
  <si>
    <t>Род службы ТПС: все</t>
  </si>
  <si>
    <t>Группа серий ТПС: все</t>
  </si>
  <si>
    <t>Серия локомотивов: 2ЭС7</t>
  </si>
  <si>
    <t>Номер секции: все</t>
  </si>
  <si>
    <t>Признак секции: все</t>
  </si>
  <si>
    <t>Отчёт по пробегам локомотивов</t>
  </si>
  <si>
    <t>Дирекция</t>
  </si>
  <si>
    <t>Депо</t>
  </si>
  <si>
    <t>Фактический</t>
  </si>
  <si>
    <t>Фактическое время в</t>
  </si>
  <si>
    <t>тяги</t>
  </si>
  <si>
    <t>приписки</t>
  </si>
  <si>
    <t>локомотива</t>
  </si>
  <si>
    <t>секции</t>
  </si>
  <si>
    <t>пробег</t>
  </si>
  <si>
    <t>эксплуатируемом парке, ч</t>
  </si>
  <si>
    <t>неэксплуатируемом парке, ч</t>
  </si>
  <si>
    <t>км</t>
  </si>
  <si>
    <t>ч</t>
  </si>
  <si>
    <t>Итого</t>
  </si>
  <si>
    <t>В том числе в</t>
  </si>
  <si>
    <t>В том числе в ожидании ТО-2, на ТО-2 и экипировке</t>
  </si>
  <si>
    <t>В том числе на</t>
  </si>
  <si>
    <t>рабочем парке</t>
  </si>
  <si>
    <t>ожидании работы</t>
  </si>
  <si>
    <t>плановых ТО, ТР</t>
  </si>
  <si>
    <t>неплановых ремонтах</t>
  </si>
  <si>
    <t>Октябрьская</t>
  </si>
  <si>
    <t>ТЧЭ-22 БАБАЕВО</t>
  </si>
  <si>
    <t>0001 A</t>
  </si>
  <si>
    <t>0001 Б</t>
  </si>
  <si>
    <t>0002 A</t>
  </si>
  <si>
    <t>0002 Б</t>
  </si>
  <si>
    <t>0003 A</t>
  </si>
  <si>
    <t>0003 Б</t>
  </si>
  <si>
    <t>0004 A</t>
  </si>
  <si>
    <t>0004 Б</t>
  </si>
  <si>
    <t>0005 A</t>
  </si>
  <si>
    <t>0005 Б</t>
  </si>
  <si>
    <t>0006 A</t>
  </si>
  <si>
    <t>0006 Б</t>
  </si>
  <si>
    <t>0007 A</t>
  </si>
  <si>
    <t>0007 Б</t>
  </si>
  <si>
    <t>0008 A</t>
  </si>
  <si>
    <t>0008 Б</t>
  </si>
  <si>
    <t>0009 A</t>
  </si>
  <si>
    <t>0009 Б</t>
  </si>
  <si>
    <t>0010 A</t>
  </si>
  <si>
    <t>0010 Б</t>
  </si>
  <si>
    <t>0011 A</t>
  </si>
  <si>
    <t>0011 Б</t>
  </si>
  <si>
    <t>0012 A</t>
  </si>
  <si>
    <t>0012 Б</t>
  </si>
  <si>
    <t>0013 A</t>
  </si>
  <si>
    <t>0013 Б</t>
  </si>
  <si>
    <t>Итого:</t>
  </si>
  <si>
    <t>Эксплуатация</t>
  </si>
  <si>
    <t>Пробег</t>
  </si>
  <si>
    <t>Обслуживание</t>
  </si>
  <si>
    <t>Рекламация</t>
  </si>
  <si>
    <t>Адм.изд.</t>
  </si>
  <si>
    <t>План КГЭ</t>
  </si>
  <si>
    <t>Адм.изд. РЖД раб</t>
  </si>
  <si>
    <t>НР РЖД</t>
  </si>
  <si>
    <t>Адм.изд. РЖД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</si>
</sst>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0.000"/>
    <numFmt numFmtId="166" formatCode="h:mm;@"/>
    <numFmt numFmtId="167" formatCode="[$-F400]h:mm:ss\ AM/PM"/>
    <numFmt numFmtId="168" formatCode="[$-419]mmmm;@"/>
    <numFmt numFmtId="169" formatCode="_-* #,##0.00_р_._-;\-* #,##0.00_р_._-;_-* &quot;-&quot;??_р_._-;_-@_-"/>
    <numFmt numFmtId="171" formatCode="#,##0.000"/>
  </numFmts>
  <fonts count="10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indexed="8"/>
      <name val="Calibri"/>
      <family val="2"/>
      <charset val="204"/>
    </font>
    <font>
      <vertAlign val="superscript"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indexed="8"/>
      <name val="Arial"/>
      <family val="2"/>
      <charset val="204"/>
    </font>
    <font>
      <b/>
      <u/>
      <sz val="14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10"/>
      <name val="Arial Cyr"/>
      <charset val="204"/>
    </font>
    <font>
      <sz val="1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b/>
      <sz val="12"/>
      <name val="Times New Roman"/>
      <family val="1"/>
      <charset val="204"/>
    </font>
    <font>
      <sz val="10"/>
      <color indexed="8"/>
      <name val="Arial"/>
      <family val="2"/>
      <charset val="204"/>
    </font>
    <font>
      <sz val="14"/>
      <color rgb="FFFF0000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10"/>
      <color indexed="8"/>
      <name val="Arial"/>
      <family val="2"/>
      <charset val="204"/>
    </font>
    <font>
      <sz val="11"/>
      <color rgb="FF000000"/>
      <name val="Calibri"/>
      <family val="2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0" tint="-0.249977111117893"/>
      <name val="Times New Roman"/>
      <family val="1"/>
      <charset val="204"/>
    </font>
    <font>
      <sz val="11"/>
      <color theme="0" tint="-0.249977111117893"/>
      <name val="Calibri"/>
      <family val="2"/>
      <scheme val="minor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2"/>
      <name val="Times New Roman"/>
      <family val="1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8"/>
      <name val="Calibri"/>
      <family val="2"/>
      <scheme val="minor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2"/>
      <color theme="0" tint="-0.249977111117893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color indexed="8"/>
      <name val="Arial"/>
      <family val="2"/>
      <charset val="204"/>
    </font>
    <font>
      <sz val="22"/>
      <color rgb="FFFF0000"/>
      <name val="Times New Roman"/>
      <family val="1"/>
      <charset val="204"/>
    </font>
    <font>
      <i/>
      <sz val="12"/>
      <color rgb="FFFF0000"/>
      <name val="Times New Roman"/>
      <family val="1"/>
      <charset val="204"/>
    </font>
    <font>
      <sz val="11"/>
      <name val="Calibri"/>
      <family val="2"/>
      <charset val="204"/>
      <scheme val="minor"/>
    </font>
    <font>
      <vertAlign val="superscript"/>
      <sz val="14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u/>
      <sz val="14"/>
      <color rgb="FFFF0000"/>
      <name val="Times New Roman"/>
      <family val="1"/>
      <charset val="204"/>
    </font>
    <font>
      <u/>
      <sz val="14"/>
      <name val="Times New Roman"/>
      <family val="1"/>
      <charset val="204"/>
    </font>
    <font>
      <i/>
      <sz val="14"/>
      <name val="Times New Roman"/>
      <family val="1"/>
      <charset val="204"/>
    </font>
    <font>
      <sz val="10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0"/>
      <color indexed="8"/>
      <name val="Arial"/>
      <family val="2"/>
    </font>
    <font>
      <sz val="11"/>
      <color rgb="FF7030A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75">
    <xf numFmtId="0" fontId="0" fillId="0" borderId="0"/>
    <xf numFmtId="0" fontId="35" fillId="0" borderId="0"/>
    <xf numFmtId="0" fontId="38" fillId="0" borderId="0"/>
    <xf numFmtId="0" fontId="30" fillId="0" borderId="0"/>
    <xf numFmtId="0" fontId="38" fillId="0" borderId="0"/>
    <xf numFmtId="0" fontId="42" fillId="0" borderId="0"/>
    <xf numFmtId="169" fontId="42" fillId="0" borderId="0" applyFont="0" applyFill="0" applyBorder="0" applyAlignment="0" applyProtection="0"/>
    <xf numFmtId="0" fontId="29" fillId="0" borderId="0"/>
    <xf numFmtId="0" fontId="46" fillId="0" borderId="0"/>
    <xf numFmtId="0" fontId="47" fillId="0" borderId="0"/>
    <xf numFmtId="0" fontId="28" fillId="0" borderId="0"/>
    <xf numFmtId="0" fontId="49" fillId="0" borderId="0"/>
    <xf numFmtId="0" fontId="38" fillId="0" borderId="0"/>
    <xf numFmtId="0" fontId="52" fillId="0" borderId="0"/>
    <xf numFmtId="0" fontId="53" fillId="0" borderId="0" applyBorder="0"/>
    <xf numFmtId="0" fontId="54" fillId="0" borderId="0"/>
    <xf numFmtId="0" fontId="55" fillId="0" borderId="0"/>
    <xf numFmtId="0" fontId="56" fillId="0" borderId="0"/>
    <xf numFmtId="0" fontId="57" fillId="0" borderId="0"/>
    <xf numFmtId="0" fontId="58" fillId="0" borderId="0" applyNumberFormat="0" applyFill="0" applyBorder="0" applyAlignment="0" applyProtection="0"/>
    <xf numFmtId="0" fontId="59" fillId="0" borderId="0"/>
    <xf numFmtId="0" fontId="60" fillId="0" borderId="0"/>
    <xf numFmtId="0" fontId="61" fillId="0" borderId="0"/>
    <xf numFmtId="0" fontId="62" fillId="0" borderId="0"/>
    <xf numFmtId="0" fontId="65" fillId="0" borderId="0"/>
    <xf numFmtId="0" fontId="66" fillId="0" borderId="0"/>
    <xf numFmtId="0" fontId="68" fillId="0" borderId="0"/>
    <xf numFmtId="0" fontId="69" fillId="0" borderId="0"/>
    <xf numFmtId="0" fontId="70" fillId="0" borderId="0"/>
    <xf numFmtId="0" fontId="71" fillId="0" borderId="0"/>
    <xf numFmtId="0" fontId="72" fillId="0" borderId="0"/>
    <xf numFmtId="0" fontId="73" fillId="0" borderId="0"/>
    <xf numFmtId="0" fontId="74" fillId="0" borderId="0"/>
    <xf numFmtId="0" fontId="75" fillId="0" borderId="0"/>
    <xf numFmtId="0" fontId="77" fillId="0" borderId="0"/>
    <xf numFmtId="0" fontId="78" fillId="0" borderId="0"/>
    <xf numFmtId="0" fontId="79" fillId="0" borderId="0"/>
    <xf numFmtId="0" fontId="80" fillId="0" borderId="0"/>
    <xf numFmtId="0" fontId="81" fillId="0" borderId="0"/>
    <xf numFmtId="0" fontId="82" fillId="0" borderId="0"/>
    <xf numFmtId="0" fontId="27" fillId="0" borderId="0"/>
    <xf numFmtId="0" fontId="26" fillId="0" borderId="0"/>
    <xf numFmtId="0" fontId="25" fillId="0" borderId="0"/>
    <xf numFmtId="0" fontId="83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86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87" fillId="0" borderId="0"/>
    <xf numFmtId="9" fontId="88" fillId="0" borderId="0" applyFont="0" applyFill="0" applyBorder="0" applyAlignment="0" applyProtection="0"/>
    <xf numFmtId="0" fontId="89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95" fillId="0" borderId="0"/>
    <xf numFmtId="0" fontId="4" fillId="0" borderId="0"/>
    <xf numFmtId="0" fontId="3" fillId="0" borderId="0"/>
    <xf numFmtId="0" fontId="2" fillId="0" borderId="0"/>
    <xf numFmtId="0" fontId="100" fillId="0" borderId="0"/>
    <xf numFmtId="0" fontId="1" fillId="0" borderId="0"/>
    <xf numFmtId="0" fontId="103" fillId="0" borderId="0"/>
  </cellStyleXfs>
  <cellXfs count="327">
    <xf numFmtId="0" fontId="0" fillId="0" borderId="0" xfId="0"/>
    <xf numFmtId="0" fontId="31" fillId="0" borderId="0" xfId="0" applyFont="1"/>
    <xf numFmtId="0" fontId="32" fillId="0" borderId="0" xfId="0" applyFont="1" applyAlignment="1">
      <alignment vertical="center" wrapText="1"/>
    </xf>
    <xf numFmtId="0" fontId="39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2" fillId="0" borderId="0" xfId="0" applyFont="1"/>
    <xf numFmtId="0" fontId="37" fillId="3" borderId="2" xfId="0" applyFont="1" applyFill="1" applyBorder="1" applyAlignment="1">
      <alignment horizontal="center" vertical="center"/>
    </xf>
    <xf numFmtId="0" fontId="37" fillId="3" borderId="2" xfId="0" applyFont="1" applyFill="1" applyBorder="1" applyAlignment="1">
      <alignment horizontal="center" vertical="center" textRotation="90"/>
    </xf>
    <xf numFmtId="0" fontId="37" fillId="3" borderId="2" xfId="0" applyFont="1" applyFill="1" applyBorder="1" applyAlignment="1">
      <alignment horizontal="center" vertical="center" textRotation="90" wrapText="1"/>
    </xf>
    <xf numFmtId="0" fontId="43" fillId="0" borderId="0" xfId="0" applyFont="1"/>
    <xf numFmtId="14" fontId="44" fillId="2" borderId="2" xfId="0" applyNumberFormat="1" applyFont="1" applyFill="1" applyBorder="1" applyAlignment="1">
      <alignment horizontal="center" vertical="top" wrapText="1"/>
    </xf>
    <xf numFmtId="167" fontId="44" fillId="2" borderId="2" xfId="0" applyNumberFormat="1" applyFont="1" applyFill="1" applyBorder="1" applyAlignment="1">
      <alignment horizontal="center" vertical="top" wrapText="1"/>
    </xf>
    <xf numFmtId="2" fontId="44" fillId="2" borderId="2" xfId="0" applyNumberFormat="1" applyFont="1" applyFill="1" applyBorder="1" applyAlignment="1">
      <alignment horizontal="center" vertical="top" wrapText="1"/>
    </xf>
    <xf numFmtId="0" fontId="45" fillId="0" borderId="0" xfId="0" applyFont="1" applyAlignment="1">
      <alignment vertical="top"/>
    </xf>
    <xf numFmtId="0" fontId="45" fillId="0" borderId="0" xfId="0" applyFont="1"/>
    <xf numFmtId="0" fontId="50" fillId="0" borderId="0" xfId="0" applyFont="1"/>
    <xf numFmtId="2" fontId="44" fillId="2" borderId="7" xfId="0" applyNumberFormat="1" applyFont="1" applyFill="1" applyBorder="1" applyAlignment="1">
      <alignment horizontal="center" vertical="top" wrapText="1"/>
    </xf>
    <xf numFmtId="49" fontId="50" fillId="0" borderId="0" xfId="0" applyNumberFormat="1" applyFont="1" applyAlignment="1">
      <alignment vertical="top"/>
    </xf>
    <xf numFmtId="0" fontId="48" fillId="3" borderId="2" xfId="0" applyFont="1" applyFill="1" applyBorder="1" applyAlignment="1">
      <alignment horizontal="center" vertical="center" textRotation="90" wrapText="1"/>
    </xf>
    <xf numFmtId="0" fontId="50" fillId="0" borderId="0" xfId="0" applyFont="1" applyAlignment="1">
      <alignment vertical="center"/>
    </xf>
    <xf numFmtId="2" fontId="45" fillId="0" borderId="0" xfId="0" applyNumberFormat="1" applyFont="1" applyAlignment="1">
      <alignment vertical="top"/>
    </xf>
    <xf numFmtId="0" fontId="63" fillId="0" borderId="0" xfId="0" applyFont="1"/>
    <xf numFmtId="168" fontId="64" fillId="2" borderId="0" xfId="0" applyNumberFormat="1" applyFont="1" applyFill="1"/>
    <xf numFmtId="0" fontId="64" fillId="2" borderId="0" xfId="0" applyFont="1" applyFill="1"/>
    <xf numFmtId="3" fontId="45" fillId="0" borderId="0" xfId="0" applyNumberFormat="1" applyFont="1"/>
    <xf numFmtId="2" fontId="50" fillId="0" borderId="0" xfId="0" applyNumberFormat="1" applyFont="1" applyAlignment="1">
      <alignment vertical="top"/>
    </xf>
    <xf numFmtId="2" fontId="31" fillId="0" borderId="0" xfId="0" applyNumberFormat="1" applyFont="1"/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40" fillId="0" borderId="0" xfId="0" applyFont="1"/>
    <xf numFmtId="14" fontId="31" fillId="0" borderId="0" xfId="0" applyNumberFormat="1" applyFont="1"/>
    <xf numFmtId="14" fontId="40" fillId="0" borderId="0" xfId="0" applyNumberFormat="1" applyFont="1"/>
    <xf numFmtId="0" fontId="40" fillId="0" borderId="0" xfId="0" applyFont="1" applyAlignment="1">
      <alignment vertical="center" wrapText="1"/>
    </xf>
    <xf numFmtId="0" fontId="32" fillId="0" borderId="0" xfId="0" applyFont="1" applyAlignment="1">
      <alignment horizontal="justify" vertical="center"/>
    </xf>
    <xf numFmtId="0" fontId="32" fillId="0" borderId="0" xfId="0" applyFont="1" applyAlignment="1">
      <alignment horizontal="right" vertical="center"/>
    </xf>
    <xf numFmtId="0" fontId="33" fillId="0" borderId="0" xfId="0" applyFont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48" fillId="2" borderId="2" xfId="0" applyFont="1" applyFill="1" applyBorder="1" applyAlignment="1">
      <alignment horizontal="center" vertical="center" wrapText="1"/>
    </xf>
    <xf numFmtId="14" fontId="44" fillId="2" borderId="8" xfId="0" applyNumberFormat="1" applyFont="1" applyFill="1" applyBorder="1" applyAlignment="1">
      <alignment horizontal="center" vertical="top" wrapText="1"/>
    </xf>
    <xf numFmtId="2" fontId="45" fillId="0" borderId="0" xfId="0" applyNumberFormat="1" applyFont="1" applyAlignment="1">
      <alignment horizontal="center" vertical="top"/>
    </xf>
    <xf numFmtId="0" fontId="44" fillId="0" borderId="0" xfId="0" applyFont="1" applyAlignment="1">
      <alignment horizontal="center" vertical="center"/>
    </xf>
    <xf numFmtId="0" fontId="67" fillId="2" borderId="0" xfId="0" applyFont="1" applyFill="1"/>
    <xf numFmtId="0" fontId="34" fillId="2" borderId="0" xfId="0" applyFont="1" applyFill="1"/>
    <xf numFmtId="2" fontId="34" fillId="2" borderId="0" xfId="0" applyNumberFormat="1" applyFont="1" applyFill="1"/>
    <xf numFmtId="2" fontId="67" fillId="2" borderId="0" xfId="0" applyNumberFormat="1" applyFont="1" applyFill="1"/>
    <xf numFmtId="0" fontId="44" fillId="2" borderId="0" xfId="0" applyFont="1" applyFill="1"/>
    <xf numFmtId="168" fontId="84" fillId="2" borderId="0" xfId="0" applyNumberFormat="1" applyFont="1" applyFill="1"/>
    <xf numFmtId="0" fontId="84" fillId="2" borderId="0" xfId="0" applyFont="1" applyFill="1"/>
    <xf numFmtId="0" fontId="50" fillId="0" borderId="0" xfId="0" applyFont="1" applyAlignment="1">
      <alignment horizontal="center" vertical="top"/>
    </xf>
    <xf numFmtId="0" fontId="44" fillId="0" borderId="0" xfId="0" applyFont="1" applyAlignment="1">
      <alignment horizontal="center" vertical="top"/>
    </xf>
    <xf numFmtId="2" fontId="44" fillId="0" borderId="0" xfId="0" applyNumberFormat="1" applyFont="1" applyAlignment="1">
      <alignment horizontal="center" vertical="center" wrapText="1"/>
    </xf>
    <xf numFmtId="0" fontId="44" fillId="2" borderId="2" xfId="0" applyFont="1" applyFill="1" applyBorder="1" applyAlignment="1">
      <alignment horizontal="center" vertical="center"/>
    </xf>
    <xf numFmtId="0" fontId="44" fillId="0" borderId="2" xfId="0" applyFont="1" applyBorder="1" applyAlignment="1">
      <alignment horizontal="center" vertical="center" wrapText="1"/>
    </xf>
    <xf numFmtId="49" fontId="44" fillId="0" borderId="2" xfId="0" applyNumberFormat="1" applyFont="1" applyBorder="1" applyAlignment="1">
      <alignment horizontal="center" vertical="top" wrapText="1"/>
    </xf>
    <xf numFmtId="166" fontId="44" fillId="0" borderId="2" xfId="0" applyNumberFormat="1" applyFont="1" applyBorder="1" applyAlignment="1">
      <alignment horizontal="center" vertical="top" wrapText="1"/>
    </xf>
    <xf numFmtId="166" fontId="44" fillId="2" borderId="2" xfId="0" applyNumberFormat="1" applyFont="1" applyFill="1" applyBorder="1" applyAlignment="1">
      <alignment horizontal="center" vertical="top" wrapText="1"/>
    </xf>
    <xf numFmtId="0" fontId="44" fillId="2" borderId="2" xfId="0" applyFont="1" applyFill="1" applyBorder="1" applyAlignment="1">
      <alignment horizontal="center" vertical="center" wrapText="1"/>
    </xf>
    <xf numFmtId="4" fontId="44" fillId="2" borderId="2" xfId="0" applyNumberFormat="1" applyFont="1" applyFill="1" applyBorder="1" applyAlignment="1">
      <alignment horizontal="center" vertical="center" wrapText="1"/>
    </xf>
    <xf numFmtId="2" fontId="45" fillId="0" borderId="0" xfId="0" applyNumberFormat="1" applyFont="1" applyAlignment="1">
      <alignment horizontal="left" vertical="top"/>
    </xf>
    <xf numFmtId="49" fontId="44" fillId="0" borderId="0" xfId="0" applyNumberFormat="1" applyFont="1" applyAlignment="1">
      <alignment horizontal="center" vertical="top" wrapText="1"/>
    </xf>
    <xf numFmtId="166" fontId="44" fillId="0" borderId="0" xfId="0" applyNumberFormat="1" applyFont="1" applyAlignment="1">
      <alignment horizontal="center" vertical="top" wrapText="1"/>
    </xf>
    <xf numFmtId="0" fontId="44" fillId="0" borderId="0" xfId="0" applyFont="1" applyAlignment="1">
      <alignment horizontal="center" vertical="center" wrapText="1"/>
    </xf>
    <xf numFmtId="4" fontId="44" fillId="0" borderId="0" xfId="0" applyNumberFormat="1" applyFont="1" applyAlignment="1">
      <alignment horizontal="center" vertical="center" wrapText="1"/>
    </xf>
    <xf numFmtId="2" fontId="44" fillId="0" borderId="0" xfId="0" applyNumberFormat="1" applyFont="1" applyAlignment="1">
      <alignment horizontal="center" vertical="top" wrapText="1"/>
    </xf>
    <xf numFmtId="2" fontId="44" fillId="2" borderId="0" xfId="0" applyNumberFormat="1" applyFont="1" applyFill="1" applyAlignment="1">
      <alignment horizontal="center" vertical="top" wrapText="1"/>
    </xf>
    <xf numFmtId="0" fontId="44" fillId="2" borderId="2" xfId="0" applyFont="1" applyFill="1" applyBorder="1" applyAlignment="1">
      <alignment horizontal="center" vertical="top" wrapText="1"/>
    </xf>
    <xf numFmtId="0" fontId="45" fillId="0" borderId="2" xfId="0" applyFont="1" applyBorder="1" applyAlignment="1">
      <alignment vertical="top"/>
    </xf>
    <xf numFmtId="0" fontId="45" fillId="0" borderId="2" xfId="0" applyFont="1" applyBorder="1" applyAlignment="1">
      <alignment vertical="center"/>
    </xf>
    <xf numFmtId="2" fontId="90" fillId="0" borderId="0" xfId="0" applyNumberFormat="1" applyFont="1" applyAlignment="1">
      <alignment vertical="top"/>
    </xf>
    <xf numFmtId="14" fontId="44" fillId="2" borderId="7" xfId="0" applyNumberFormat="1" applyFont="1" applyFill="1" applyBorder="1" applyAlignment="1">
      <alignment horizontal="center" vertical="top" wrapText="1"/>
    </xf>
    <xf numFmtId="0" fontId="44" fillId="2" borderId="7" xfId="0" applyFont="1" applyFill="1" applyBorder="1" applyAlignment="1">
      <alignment horizontal="center" vertical="top" wrapText="1"/>
    </xf>
    <xf numFmtId="49" fontId="44" fillId="2" borderId="9" xfId="0" applyNumberFormat="1" applyFont="1" applyFill="1" applyBorder="1" applyAlignment="1">
      <alignment horizontal="center" vertical="top" wrapText="1"/>
    </xf>
    <xf numFmtId="2" fontId="44" fillId="2" borderId="9" xfId="0" applyNumberFormat="1" applyFont="1" applyFill="1" applyBorder="1" applyAlignment="1">
      <alignment horizontal="center" vertical="top" wrapText="1"/>
    </xf>
    <xf numFmtId="22" fontId="50" fillId="0" borderId="0" xfId="0" applyNumberFormat="1" applyFont="1" applyAlignment="1">
      <alignment vertical="center"/>
    </xf>
    <xf numFmtId="49" fontId="44" fillId="2" borderId="2" xfId="0" applyNumberFormat="1" applyFont="1" applyFill="1" applyBorder="1" applyAlignment="1">
      <alignment horizontal="center" vertical="top" wrapText="1"/>
    </xf>
    <xf numFmtId="22" fontId="50" fillId="0" borderId="0" xfId="0" applyNumberFormat="1" applyFont="1"/>
    <xf numFmtId="14" fontId="44" fillId="2" borderId="5" xfId="0" applyNumberFormat="1" applyFont="1" applyFill="1" applyBorder="1" applyAlignment="1">
      <alignment horizontal="center" vertical="top" wrapText="1"/>
    </xf>
    <xf numFmtId="2" fontId="44" fillId="2" borderId="5" xfId="0" applyNumberFormat="1" applyFont="1" applyFill="1" applyBorder="1" applyAlignment="1">
      <alignment horizontal="center" vertical="top" wrapText="1"/>
    </xf>
    <xf numFmtId="0" fontId="44" fillId="0" borderId="2" xfId="0" applyFont="1" applyBorder="1" applyAlignment="1">
      <alignment horizontal="center" vertical="top" wrapText="1"/>
    </xf>
    <xf numFmtId="2" fontId="44" fillId="0" borderId="0" xfId="0" applyNumberFormat="1" applyFont="1" applyAlignment="1">
      <alignment vertical="top"/>
    </xf>
    <xf numFmtId="0" fontId="45" fillId="0" borderId="16" xfId="0" applyFont="1" applyBorder="1" applyAlignment="1">
      <alignment vertical="top"/>
    </xf>
    <xf numFmtId="167" fontId="44" fillId="2" borderId="5" xfId="0" applyNumberFormat="1" applyFont="1" applyFill="1" applyBorder="1" applyAlignment="1">
      <alignment horizontal="center" vertical="top" wrapText="1"/>
    </xf>
    <xf numFmtId="0" fontId="44" fillId="2" borderId="5" xfId="0" applyFont="1" applyFill="1" applyBorder="1" applyAlignment="1">
      <alignment horizontal="center" vertical="top" wrapText="1"/>
    </xf>
    <xf numFmtId="0" fontId="44" fillId="0" borderId="0" xfId="0" applyFont="1"/>
    <xf numFmtId="22" fontId="45" fillId="0" borderId="0" xfId="0" applyNumberFormat="1" applyFont="1"/>
    <xf numFmtId="14" fontId="44" fillId="2" borderId="0" xfId="0" applyNumberFormat="1" applyFont="1" applyFill="1" applyAlignment="1">
      <alignment horizontal="center" vertical="top" wrapText="1"/>
    </xf>
    <xf numFmtId="0" fontId="44" fillId="2" borderId="13" xfId="0" applyFont="1" applyFill="1" applyBorder="1" applyAlignment="1">
      <alignment horizontal="center" vertical="top" wrapText="1"/>
    </xf>
    <xf numFmtId="14" fontId="44" fillId="2" borderId="13" xfId="0" applyNumberFormat="1" applyFont="1" applyFill="1" applyBorder="1" applyAlignment="1">
      <alignment horizontal="center" vertical="top" wrapText="1"/>
    </xf>
    <xf numFmtId="167" fontId="44" fillId="2" borderId="13" xfId="0" applyNumberFormat="1" applyFont="1" applyFill="1" applyBorder="1" applyAlignment="1">
      <alignment horizontal="center" vertical="top" wrapText="1"/>
    </xf>
    <xf numFmtId="0" fontId="44" fillId="0" borderId="13" xfId="0" applyFont="1" applyBorder="1" applyAlignment="1">
      <alignment horizontal="center" vertical="top" wrapText="1"/>
    </xf>
    <xf numFmtId="0" fontId="44" fillId="0" borderId="0" xfId="0" applyFont="1" applyAlignment="1">
      <alignment horizontal="left" vertical="top" wrapText="1"/>
    </xf>
    <xf numFmtId="0" fontId="44" fillId="2" borderId="0" xfId="0" applyFont="1" applyFill="1" applyAlignment="1">
      <alignment horizontal="left" vertical="top"/>
    </xf>
    <xf numFmtId="0" fontId="44" fillId="2" borderId="0" xfId="0" applyFont="1" applyFill="1" applyAlignment="1">
      <alignment horizontal="center" vertical="top" wrapText="1"/>
    </xf>
    <xf numFmtId="3" fontId="44" fillId="2" borderId="0" xfId="0" applyNumberFormat="1" applyFont="1" applyFill="1" applyAlignment="1">
      <alignment horizontal="center" vertical="center" wrapText="1"/>
    </xf>
    <xf numFmtId="1" fontId="44" fillId="2" borderId="0" xfId="0" applyNumberFormat="1" applyFont="1" applyFill="1" applyAlignment="1">
      <alignment horizontal="center" vertical="center" wrapText="1"/>
    </xf>
    <xf numFmtId="3" fontId="44" fillId="0" borderId="0" xfId="0" applyNumberFormat="1" applyFont="1" applyAlignment="1">
      <alignment horizontal="center" vertical="center" wrapText="1"/>
    </xf>
    <xf numFmtId="167" fontId="44" fillId="2" borderId="0" xfId="0" applyNumberFormat="1" applyFont="1" applyFill="1" applyAlignment="1">
      <alignment horizontal="center" vertical="top" wrapText="1"/>
    </xf>
    <xf numFmtId="0" fontId="44" fillId="0" borderId="0" xfId="0" applyFont="1" applyAlignment="1">
      <alignment horizontal="center" vertical="top" wrapText="1"/>
    </xf>
    <xf numFmtId="2" fontId="44" fillId="0" borderId="13" xfId="0" applyNumberFormat="1" applyFont="1" applyBorder="1" applyAlignment="1">
      <alignment horizontal="center" vertical="top" wrapText="1"/>
    </xf>
    <xf numFmtId="0" fontId="50" fillId="0" borderId="0" xfId="0" applyFont="1" applyAlignment="1">
      <alignment horizontal="center" vertical="center" wrapText="1"/>
    </xf>
    <xf numFmtId="0" fontId="91" fillId="0" borderId="0" xfId="0" applyFont="1" applyAlignment="1">
      <alignment horizontal="justify" vertical="center"/>
    </xf>
    <xf numFmtId="14" fontId="45" fillId="0" borderId="0" xfId="0" applyNumberFormat="1" applyFont="1"/>
    <xf numFmtId="0" fontId="41" fillId="0" borderId="0" xfId="0" applyFont="1" applyAlignment="1">
      <alignment horizontal="center" vertical="center" wrapText="1"/>
    </xf>
    <xf numFmtId="0" fontId="45" fillId="2" borderId="0" xfId="0" applyFont="1" applyFill="1" applyAlignment="1">
      <alignment vertical="top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justify" vertical="center"/>
    </xf>
    <xf numFmtId="0" fontId="41" fillId="0" borderId="0" xfId="0" applyFont="1"/>
    <xf numFmtId="1" fontId="41" fillId="0" borderId="0" xfId="0" applyNumberFormat="1" applyFont="1"/>
    <xf numFmtId="1" fontId="43" fillId="0" borderId="0" xfId="0" applyNumberFormat="1" applyFont="1"/>
    <xf numFmtId="0" fontId="41" fillId="0" borderId="0" xfId="0" applyFont="1" applyAlignment="1">
      <alignment vertical="center" wrapText="1"/>
    </xf>
    <xf numFmtId="0" fontId="41" fillId="0" borderId="1" xfId="0" applyFont="1" applyBorder="1" applyAlignment="1">
      <alignment horizontal="center"/>
    </xf>
    <xf numFmtId="0" fontId="41" fillId="0" borderId="0" xfId="0" applyFont="1" applyAlignment="1">
      <alignment vertical="top" wrapText="1"/>
    </xf>
    <xf numFmtId="0" fontId="93" fillId="0" borderId="0" xfId="0" applyFont="1" applyAlignment="1">
      <alignment horizontal="center" vertical="top" wrapText="1"/>
    </xf>
    <xf numFmtId="0" fontId="43" fillId="0" borderId="0" xfId="0" applyFont="1" applyAlignment="1">
      <alignment vertical="top"/>
    </xf>
    <xf numFmtId="0" fontId="41" fillId="0" borderId="0" xfId="0" applyFont="1" applyAlignment="1">
      <alignment horizontal="justify" vertical="top" wrapText="1"/>
    </xf>
    <xf numFmtId="0" fontId="94" fillId="0" borderId="0" xfId="0" applyFont="1" applyAlignment="1">
      <alignment horizontal="center" vertical="top"/>
    </xf>
    <xf numFmtId="0" fontId="41" fillId="0" borderId="0" xfId="0" applyFont="1" applyAlignment="1">
      <alignment vertical="top"/>
    </xf>
    <xf numFmtId="0" fontId="93" fillId="0" borderId="0" xfId="0" applyFont="1" applyAlignment="1">
      <alignment horizontal="center" vertical="center" wrapText="1"/>
    </xf>
    <xf numFmtId="0" fontId="45" fillId="0" borderId="15" xfId="0" applyFont="1" applyBorder="1" applyAlignment="1">
      <alignment vertical="top"/>
    </xf>
    <xf numFmtId="0" fontId="44" fillId="0" borderId="15" xfId="0" applyFont="1" applyBorder="1" applyAlignment="1">
      <alignment vertical="top"/>
    </xf>
    <xf numFmtId="14" fontId="44" fillId="0" borderId="2" xfId="0" applyNumberFormat="1" applyFont="1" applyBorder="1" applyAlignment="1">
      <alignment horizontal="center" vertical="center" wrapText="1"/>
    </xf>
    <xf numFmtId="14" fontId="44" fillId="2" borderId="2" xfId="0" applyNumberFormat="1" applyFont="1" applyFill="1" applyBorder="1" applyAlignment="1">
      <alignment horizontal="center" vertical="center" wrapText="1"/>
    </xf>
    <xf numFmtId="167" fontId="44" fillId="2" borderId="2" xfId="0" applyNumberFormat="1" applyFont="1" applyFill="1" applyBorder="1" applyAlignment="1">
      <alignment horizontal="center" vertical="center" wrapText="1"/>
    </xf>
    <xf numFmtId="2" fontId="44" fillId="0" borderId="0" xfId="0" applyNumberFormat="1" applyFont="1" applyAlignment="1">
      <alignment horizontal="center" vertical="center"/>
    </xf>
    <xf numFmtId="3" fontId="44" fillId="0" borderId="23" xfId="0" applyNumberFormat="1" applyFont="1" applyBorder="1" applyAlignment="1">
      <alignment horizontal="center" vertical="center" wrapText="1"/>
    </xf>
    <xf numFmtId="0" fontId="44" fillId="0" borderId="16" xfId="0" applyFont="1" applyBorder="1" applyAlignment="1">
      <alignment horizontal="center" vertical="center"/>
    </xf>
    <xf numFmtId="49" fontId="44" fillId="0" borderId="2" xfId="0" applyNumberFormat="1" applyFont="1" applyBorder="1" applyAlignment="1">
      <alignment horizontal="center" vertical="center" wrapText="1"/>
    </xf>
    <xf numFmtId="0" fontId="44" fillId="0" borderId="21" xfId="19" applyFont="1" applyFill="1" applyBorder="1" applyAlignment="1">
      <alignment horizontal="center" vertical="center"/>
    </xf>
    <xf numFmtId="2" fontId="44" fillId="0" borderId="16" xfId="0" applyNumberFormat="1" applyFont="1" applyBorder="1" applyAlignment="1">
      <alignment horizontal="center" vertical="center" wrapText="1"/>
    </xf>
    <xf numFmtId="0" fontId="44" fillId="0" borderId="21" xfId="0" applyFont="1" applyBorder="1" applyAlignment="1">
      <alignment horizontal="center" vertical="center"/>
    </xf>
    <xf numFmtId="0" fontId="44" fillId="0" borderId="24" xfId="0" applyFont="1" applyBorder="1" applyAlignment="1">
      <alignment horizontal="center" vertical="center"/>
    </xf>
    <xf numFmtId="2" fontId="44" fillId="0" borderId="24" xfId="0" applyNumberFormat="1" applyFont="1" applyBorder="1" applyAlignment="1">
      <alignment horizontal="center" vertical="center"/>
    </xf>
    <xf numFmtId="0" fontId="45" fillId="0" borderId="24" xfId="0" applyFont="1" applyBorder="1"/>
    <xf numFmtId="2" fontId="45" fillId="0" borderId="24" xfId="0" applyNumberFormat="1" applyFont="1" applyBorder="1" applyAlignment="1">
      <alignment horizontal="center" vertical="center"/>
    </xf>
    <xf numFmtId="167" fontId="44" fillId="2" borderId="7" xfId="0" applyNumberFormat="1" applyFont="1" applyFill="1" applyBorder="1" applyAlignment="1">
      <alignment horizontal="center" vertical="top" wrapText="1"/>
    </xf>
    <xf numFmtId="0" fontId="44" fillId="2" borderId="7" xfId="0" applyFont="1" applyFill="1" applyBorder="1" applyAlignment="1">
      <alignment horizontal="center" vertical="center" wrapText="1"/>
    </xf>
    <xf numFmtId="0" fontId="44" fillId="0" borderId="7" xfId="0" applyFont="1" applyBorder="1" applyAlignment="1">
      <alignment horizontal="center" vertical="top" wrapText="1"/>
    </xf>
    <xf numFmtId="0" fontId="44" fillId="2" borderId="8" xfId="0" applyFont="1" applyFill="1" applyBorder="1" applyAlignment="1">
      <alignment vertical="top"/>
    </xf>
    <xf numFmtId="0" fontId="44" fillId="2" borderId="2" xfId="0" applyFont="1" applyFill="1" applyBorder="1" applyAlignment="1">
      <alignment horizontal="left" vertical="center"/>
    </xf>
    <xf numFmtId="0" fontId="44" fillId="2" borderId="2" xfId="0" applyFont="1" applyFill="1" applyBorder="1" applyAlignment="1">
      <alignment vertical="center" wrapText="1"/>
    </xf>
    <xf numFmtId="1" fontId="50" fillId="0" borderId="0" xfId="0" applyNumberFormat="1" applyFont="1"/>
    <xf numFmtId="0" fontId="50" fillId="0" borderId="0" xfId="0" applyFont="1" applyAlignment="1">
      <alignment horizontal="center" vertical="center"/>
    </xf>
    <xf numFmtId="0" fontId="85" fillId="0" borderId="0" xfId="0" applyFont="1"/>
    <xf numFmtId="2" fontId="50" fillId="0" borderId="0" xfId="0" applyNumberFormat="1" applyFont="1"/>
    <xf numFmtId="0" fontId="96" fillId="0" borderId="0" xfId="0" applyFont="1"/>
    <xf numFmtId="2" fontId="45" fillId="0" borderId="0" xfId="0" applyNumberFormat="1" applyFont="1"/>
    <xf numFmtId="4" fontId="50" fillId="0" borderId="0" xfId="0" applyNumberFormat="1" applyFont="1"/>
    <xf numFmtId="1" fontId="50" fillId="0" borderId="0" xfId="0" applyNumberFormat="1" applyFont="1" applyAlignment="1">
      <alignment horizontal="center"/>
    </xf>
    <xf numFmtId="2" fontId="50" fillId="0" borderId="0" xfId="0" applyNumberFormat="1" applyFont="1" applyAlignment="1">
      <alignment horizontal="center"/>
    </xf>
    <xf numFmtId="165" fontId="45" fillId="0" borderId="0" xfId="0" applyNumberFormat="1" applyFont="1"/>
    <xf numFmtId="1" fontId="50" fillId="0" borderId="0" xfId="0" applyNumberFormat="1" applyFont="1" applyAlignment="1">
      <alignment horizontal="center" vertical="center"/>
    </xf>
    <xf numFmtId="9" fontId="45" fillId="0" borderId="0" xfId="58" applyFont="1"/>
    <xf numFmtId="1" fontId="96" fillId="0" borderId="0" xfId="0" applyNumberFormat="1" applyFont="1"/>
    <xf numFmtId="1" fontId="97" fillId="0" borderId="0" xfId="0" applyNumberFormat="1" applyFont="1" applyAlignment="1">
      <alignment vertical="center"/>
    </xf>
    <xf numFmtId="1" fontId="45" fillId="0" borderId="0" xfId="0" applyNumberFormat="1" applyFont="1"/>
    <xf numFmtId="171" fontId="45" fillId="0" borderId="0" xfId="0" applyNumberFormat="1" applyFont="1"/>
    <xf numFmtId="2" fontId="97" fillId="0" borderId="0" xfId="0" applyNumberFormat="1" applyFont="1" applyAlignment="1">
      <alignment horizontal="center" vertical="center"/>
    </xf>
    <xf numFmtId="165" fontId="50" fillId="0" borderId="0" xfId="0" applyNumberFormat="1" applyFont="1" applyAlignment="1">
      <alignment horizontal="center"/>
    </xf>
    <xf numFmtId="0" fontId="67" fillId="0" borderId="23" xfId="0" applyFont="1" applyBorder="1" applyAlignment="1">
      <alignment horizontal="center" vertical="center"/>
    </xf>
    <xf numFmtId="0" fontId="67" fillId="2" borderId="23" xfId="0" applyFont="1" applyFill="1" applyBorder="1" applyAlignment="1">
      <alignment horizontal="center" vertical="center"/>
    </xf>
    <xf numFmtId="0" fontId="67" fillId="0" borderId="23" xfId="0" applyFont="1" applyBorder="1" applyAlignment="1">
      <alignment horizontal="center" vertical="center" wrapText="1"/>
    </xf>
    <xf numFmtId="0" fontId="43" fillId="0" borderId="22" xfId="0" applyFont="1" applyBorder="1" applyAlignment="1">
      <alignment vertical="top"/>
    </xf>
    <xf numFmtId="0" fontId="67" fillId="4" borderId="2" xfId="0" applyFont="1" applyFill="1" applyBorder="1" applyAlignment="1">
      <alignment horizontal="left" vertical="top" wrapText="1"/>
    </xf>
    <xf numFmtId="0" fontId="67" fillId="2" borderId="2" xfId="0" applyFont="1" applyFill="1" applyBorder="1" applyAlignment="1">
      <alignment horizontal="left" vertical="top"/>
    </xf>
    <xf numFmtId="0" fontId="67" fillId="2" borderId="16" xfId="0" applyFont="1" applyFill="1" applyBorder="1" applyAlignment="1">
      <alignment horizontal="center" vertical="center" wrapText="1"/>
    </xf>
    <xf numFmtId="0" fontId="67" fillId="2" borderId="2" xfId="0" applyFont="1" applyFill="1" applyBorder="1" applyAlignment="1">
      <alignment horizontal="center" vertical="top" wrapText="1"/>
    </xf>
    <xf numFmtId="2" fontId="67" fillId="2" borderId="3" xfId="0" applyNumberFormat="1" applyFont="1" applyFill="1" applyBorder="1" applyAlignment="1">
      <alignment horizontal="center" vertical="top" wrapText="1"/>
    </xf>
    <xf numFmtId="14" fontId="67" fillId="0" borderId="2" xfId="0" applyNumberFormat="1" applyFont="1" applyBorder="1" applyAlignment="1">
      <alignment horizontal="center" vertical="top" wrapText="1"/>
    </xf>
    <xf numFmtId="3" fontId="67" fillId="0" borderId="2" xfId="0" applyNumberFormat="1" applyFont="1" applyBorder="1" applyAlignment="1">
      <alignment horizontal="center" vertical="center" wrapText="1"/>
    </xf>
    <xf numFmtId="3" fontId="67" fillId="2" borderId="2" xfId="0" applyNumberFormat="1" applyFont="1" applyFill="1" applyBorder="1" applyAlignment="1">
      <alignment horizontal="center" vertical="center" wrapText="1"/>
    </xf>
    <xf numFmtId="0" fontId="67" fillId="2" borderId="2" xfId="0" applyFont="1" applyFill="1" applyBorder="1" applyAlignment="1">
      <alignment horizontal="center" vertical="center" wrapText="1"/>
    </xf>
    <xf numFmtId="49" fontId="67" fillId="0" borderId="2" xfId="0" applyNumberFormat="1" applyFont="1" applyBorder="1" applyAlignment="1">
      <alignment horizontal="center" vertical="top" wrapText="1"/>
    </xf>
    <xf numFmtId="2" fontId="67" fillId="2" borderId="2" xfId="0" applyNumberFormat="1" applyFont="1" applyFill="1" applyBorder="1" applyAlignment="1">
      <alignment horizontal="center" vertical="top" wrapText="1"/>
    </xf>
    <xf numFmtId="14" fontId="67" fillId="2" borderId="8" xfId="0" applyNumberFormat="1" applyFont="1" applyFill="1" applyBorder="1" applyAlignment="1">
      <alignment horizontal="center" vertical="top" wrapText="1"/>
    </xf>
    <xf numFmtId="2" fontId="67" fillId="2" borderId="8" xfId="0" applyNumberFormat="1" applyFont="1" applyFill="1" applyBorder="1" applyAlignment="1">
      <alignment horizontal="center" vertical="top" wrapText="1"/>
    </xf>
    <xf numFmtId="166" fontId="67" fillId="0" borderId="2" xfId="0" applyNumberFormat="1" applyFont="1" applyBorder="1" applyAlignment="1">
      <alignment horizontal="center" vertical="top" wrapText="1"/>
    </xf>
    <xf numFmtId="0" fontId="67" fillId="2" borderId="2" xfId="0" applyFont="1" applyFill="1" applyBorder="1" applyAlignment="1">
      <alignment horizontal="center" vertical="center"/>
    </xf>
    <xf numFmtId="166" fontId="67" fillId="2" borderId="2" xfId="0" applyNumberFormat="1" applyFont="1" applyFill="1" applyBorder="1" applyAlignment="1">
      <alignment horizontal="center" vertical="top" wrapText="1"/>
    </xf>
    <xf numFmtId="4" fontId="67" fillId="2" borderId="2" xfId="0" applyNumberFormat="1" applyFont="1" applyFill="1" applyBorder="1" applyAlignment="1">
      <alignment horizontal="center" vertical="center" wrapText="1"/>
    </xf>
    <xf numFmtId="0" fontId="67" fillId="0" borderId="16" xfId="0" applyFont="1" applyBorder="1" applyAlignment="1">
      <alignment horizontal="center" vertical="center"/>
    </xf>
    <xf numFmtId="0" fontId="67" fillId="0" borderId="2" xfId="0" applyFont="1" applyBorder="1" applyAlignment="1">
      <alignment horizontal="center" vertical="center" wrapText="1"/>
    </xf>
    <xf numFmtId="49" fontId="67" fillId="0" borderId="8" xfId="0" applyNumberFormat="1" applyFont="1" applyBorder="1" applyAlignment="1">
      <alignment horizontal="center" vertical="top" wrapText="1"/>
    </xf>
    <xf numFmtId="0" fontId="67" fillId="0" borderId="20" xfId="0" applyFont="1" applyBorder="1" applyAlignment="1">
      <alignment horizontal="center" vertical="center" wrapText="1"/>
    </xf>
    <xf numFmtId="0" fontId="67" fillId="0" borderId="2" xfId="0" applyFont="1" applyBorder="1" applyAlignment="1">
      <alignment horizontal="center" vertical="center"/>
    </xf>
    <xf numFmtId="1" fontId="67" fillId="0" borderId="2" xfId="0" applyNumberFormat="1" applyFont="1" applyBorder="1" applyAlignment="1">
      <alignment horizontal="center" vertical="center" wrapText="1"/>
    </xf>
    <xf numFmtId="49" fontId="67" fillId="2" borderId="7" xfId="0" applyNumberFormat="1" applyFont="1" applyFill="1" applyBorder="1" applyAlignment="1">
      <alignment horizontal="center" vertical="top" wrapText="1"/>
    </xf>
    <xf numFmtId="2" fontId="67" fillId="2" borderId="7" xfId="0" applyNumberFormat="1" applyFont="1" applyFill="1" applyBorder="1" applyAlignment="1">
      <alignment horizontal="center" vertical="top" wrapText="1"/>
    </xf>
    <xf numFmtId="1" fontId="67" fillId="2" borderId="2" xfId="0" applyNumberFormat="1" applyFont="1" applyFill="1" applyBorder="1" applyAlignment="1">
      <alignment horizontal="center" vertical="center" wrapText="1"/>
    </xf>
    <xf numFmtId="2" fontId="67" fillId="0" borderId="8" xfId="0" applyNumberFormat="1" applyFont="1" applyBorder="1" applyAlignment="1">
      <alignment horizontal="center" vertical="top" wrapText="1"/>
    </xf>
    <xf numFmtId="0" fontId="98" fillId="0" borderId="0" xfId="0" applyFont="1"/>
    <xf numFmtId="3" fontId="98" fillId="0" borderId="0" xfId="0" applyNumberFormat="1" applyFont="1"/>
    <xf numFmtId="20" fontId="98" fillId="0" borderId="0" xfId="0" applyNumberFormat="1" applyFont="1" applyAlignment="1">
      <alignment vertical="center"/>
    </xf>
    <xf numFmtId="2" fontId="98" fillId="0" borderId="0" xfId="0" applyNumberFormat="1" applyFont="1" applyAlignment="1">
      <alignment vertical="center"/>
    </xf>
    <xf numFmtId="0" fontId="41" fillId="2" borderId="0" xfId="0" applyFont="1" applyFill="1" applyAlignment="1">
      <alignment vertical="center"/>
    </xf>
    <xf numFmtId="22" fontId="41" fillId="0" borderId="0" xfId="0" applyNumberFormat="1" applyFont="1" applyAlignment="1">
      <alignment vertical="center"/>
    </xf>
    <xf numFmtId="2" fontId="41" fillId="0" borderId="0" xfId="0" applyNumberFormat="1" applyFont="1"/>
    <xf numFmtId="22" fontId="41" fillId="0" borderId="0" xfId="0" applyNumberFormat="1" applyFont="1"/>
    <xf numFmtId="0" fontId="41" fillId="0" borderId="0" xfId="0" applyFont="1" applyAlignment="1">
      <alignment horizontal="left" vertical="center"/>
    </xf>
    <xf numFmtId="4" fontId="41" fillId="0" borderId="0" xfId="0" applyNumberFormat="1" applyFont="1" applyAlignment="1">
      <alignment horizontal="left" vertical="center"/>
    </xf>
    <xf numFmtId="0" fontId="67" fillId="0" borderId="0" xfId="0" applyFont="1"/>
    <xf numFmtId="0" fontId="67" fillId="0" borderId="2" xfId="0" applyFont="1" applyBorder="1"/>
    <xf numFmtId="0" fontId="67" fillId="0" borderId="16" xfId="0" applyFont="1" applyBorder="1" applyAlignment="1">
      <alignment horizontal="left" vertical="center"/>
    </xf>
    <xf numFmtId="0" fontId="67" fillId="0" borderId="16" xfId="0" applyFont="1" applyBorder="1"/>
    <xf numFmtId="49" fontId="67" fillId="0" borderId="2" xfId="0" applyNumberFormat="1" applyFont="1" applyBorder="1" applyAlignment="1">
      <alignment horizontal="center" vertical="center" wrapText="1"/>
    </xf>
    <xf numFmtId="2" fontId="67" fillId="2" borderId="5" xfId="0" applyNumberFormat="1" applyFont="1" applyFill="1" applyBorder="1" applyAlignment="1">
      <alignment horizontal="center" vertical="top" wrapText="1"/>
    </xf>
    <xf numFmtId="2" fontId="67" fillId="2" borderId="8" xfId="0" applyNumberFormat="1" applyFont="1" applyFill="1" applyBorder="1" applyAlignment="1">
      <alignment vertical="top"/>
    </xf>
    <xf numFmtId="0" fontId="67" fillId="0" borderId="14" xfId="0" applyFont="1" applyBorder="1" applyAlignment="1">
      <alignment horizontal="center" vertical="center" wrapText="1"/>
    </xf>
    <xf numFmtId="0" fontId="67" fillId="0" borderId="14" xfId="0" applyFont="1" applyBorder="1" applyAlignment="1">
      <alignment horizontal="center" vertical="center"/>
    </xf>
    <xf numFmtId="3" fontId="67" fillId="0" borderId="14" xfId="0" applyNumberFormat="1" applyFont="1" applyBorder="1" applyAlignment="1">
      <alignment horizontal="center" vertical="center" wrapText="1"/>
    </xf>
    <xf numFmtId="0" fontId="67" fillId="4" borderId="17" xfId="0" applyFont="1" applyFill="1" applyBorder="1" applyAlignment="1">
      <alignment horizontal="left" vertical="top" wrapText="1"/>
    </xf>
    <xf numFmtId="0" fontId="67" fillId="2" borderId="17" xfId="0" applyFont="1" applyFill="1" applyBorder="1" applyAlignment="1">
      <alignment horizontal="left" vertical="top"/>
    </xf>
    <xf numFmtId="0" fontId="67" fillId="2" borderId="17" xfId="0" applyFont="1" applyFill="1" applyBorder="1" applyAlignment="1">
      <alignment horizontal="center" vertical="top" wrapText="1"/>
    </xf>
    <xf numFmtId="2" fontId="67" fillId="2" borderId="17" xfId="0" applyNumberFormat="1" applyFont="1" applyFill="1" applyBorder="1" applyAlignment="1">
      <alignment horizontal="center" vertical="top" wrapText="1"/>
    </xf>
    <xf numFmtId="14" fontId="67" fillId="0" borderId="17" xfId="0" applyNumberFormat="1" applyFont="1" applyBorder="1" applyAlignment="1">
      <alignment horizontal="center" vertical="top" wrapText="1"/>
    </xf>
    <xf numFmtId="0" fontId="67" fillId="4" borderId="13" xfId="0" applyFont="1" applyFill="1" applyBorder="1" applyAlignment="1">
      <alignment horizontal="left" vertical="top" wrapText="1"/>
    </xf>
    <xf numFmtId="0" fontId="67" fillId="2" borderId="13" xfId="0" applyFont="1" applyFill="1" applyBorder="1" applyAlignment="1">
      <alignment horizontal="left" vertical="top"/>
    </xf>
    <xf numFmtId="0" fontId="67" fillId="2" borderId="13" xfId="0" applyFont="1" applyFill="1" applyBorder="1" applyAlignment="1">
      <alignment horizontal="center" vertical="top" wrapText="1"/>
    </xf>
    <xf numFmtId="3" fontId="67" fillId="0" borderId="13" xfId="0" applyNumberFormat="1" applyFont="1" applyBorder="1" applyAlignment="1">
      <alignment horizontal="center" vertical="center" wrapText="1"/>
    </xf>
    <xf numFmtId="1" fontId="67" fillId="0" borderId="13" xfId="0" applyNumberFormat="1" applyFont="1" applyBorder="1" applyAlignment="1">
      <alignment horizontal="center" vertical="center" wrapText="1"/>
    </xf>
    <xf numFmtId="2" fontId="67" fillId="2" borderId="13" xfId="0" applyNumberFormat="1" applyFont="1" applyFill="1" applyBorder="1" applyAlignment="1">
      <alignment horizontal="center" vertical="top" wrapText="1"/>
    </xf>
    <xf numFmtId="14" fontId="67" fillId="2" borderId="10" xfId="0" applyNumberFormat="1" applyFont="1" applyFill="1" applyBorder="1" applyAlignment="1">
      <alignment horizontal="center" vertical="top" wrapText="1"/>
    </xf>
    <xf numFmtId="2" fontId="67" fillId="2" borderId="11" xfId="0" applyNumberFormat="1" applyFont="1" applyFill="1" applyBorder="1" applyAlignment="1">
      <alignment horizontal="center" vertical="top" wrapText="1"/>
    </xf>
    <xf numFmtId="2" fontId="67" fillId="2" borderId="12" xfId="0" applyNumberFormat="1" applyFont="1" applyFill="1" applyBorder="1" applyAlignment="1">
      <alignment horizontal="center" vertical="top" wrapText="1"/>
    </xf>
    <xf numFmtId="0" fontId="67" fillId="0" borderId="24" xfId="0" applyFont="1" applyBorder="1" applyAlignment="1">
      <alignment horizontal="center" vertical="center" wrapText="1"/>
    </xf>
    <xf numFmtId="0" fontId="67" fillId="0" borderId="24" xfId="0" applyFont="1" applyBorder="1" applyAlignment="1">
      <alignment horizontal="center" vertical="center"/>
    </xf>
    <xf numFmtId="3" fontId="67" fillId="0" borderId="24" xfId="0" applyNumberFormat="1" applyFont="1" applyBorder="1" applyAlignment="1">
      <alignment horizontal="center" vertical="center" wrapText="1"/>
    </xf>
    <xf numFmtId="0" fontId="67" fillId="2" borderId="16" xfId="0" applyFont="1" applyFill="1" applyBorder="1" applyAlignment="1">
      <alignment horizontal="center" vertical="center"/>
    </xf>
    <xf numFmtId="3" fontId="67" fillId="2" borderId="24" xfId="0" applyNumberFormat="1" applyFont="1" applyFill="1" applyBorder="1" applyAlignment="1">
      <alignment horizontal="center" vertical="center" wrapText="1"/>
    </xf>
    <xf numFmtId="0" fontId="67" fillId="2" borderId="24" xfId="0" applyFont="1" applyFill="1" applyBorder="1" applyAlignment="1">
      <alignment horizontal="center" vertical="center" wrapText="1"/>
    </xf>
    <xf numFmtId="0" fontId="34" fillId="2" borderId="2" xfId="0" applyFont="1" applyFill="1" applyBorder="1" applyAlignment="1">
      <alignment horizontal="center" vertical="center" wrapText="1"/>
    </xf>
    <xf numFmtId="2" fontId="67" fillId="2" borderId="10" xfId="0" applyNumberFormat="1" applyFont="1" applyFill="1" applyBorder="1" applyAlignment="1">
      <alignment horizontal="center" vertical="top" wrapText="1"/>
    </xf>
    <xf numFmtId="0" fontId="43" fillId="0" borderId="24" xfId="0" applyFont="1" applyBorder="1" applyAlignment="1">
      <alignment vertical="top"/>
    </xf>
    <xf numFmtId="0" fontId="67" fillId="4" borderId="2" xfId="0" applyFont="1" applyFill="1" applyBorder="1" applyAlignment="1">
      <alignment horizontal="left" vertical="center"/>
    </xf>
    <xf numFmtId="0" fontId="67" fillId="0" borderId="2" xfId="0" applyFont="1" applyBorder="1" applyAlignment="1">
      <alignment horizontal="center" vertical="top" wrapText="1"/>
    </xf>
    <xf numFmtId="0" fontId="34" fillId="0" borderId="2" xfId="0" applyFont="1" applyBorder="1" applyAlignment="1">
      <alignment horizontal="center" vertical="center" wrapText="1"/>
    </xf>
    <xf numFmtId="0" fontId="31" fillId="0" borderId="0" xfId="0" applyFont="1" applyAlignment="1">
      <alignment vertical="top"/>
    </xf>
    <xf numFmtId="22" fontId="32" fillId="0" borderId="0" xfId="0" applyNumberFormat="1" applyFont="1" applyAlignment="1">
      <alignment vertical="center"/>
    </xf>
    <xf numFmtId="0" fontId="34" fillId="2" borderId="2" xfId="0" applyFont="1" applyFill="1" applyBorder="1" applyAlignment="1">
      <alignment horizontal="center" vertical="top" wrapText="1"/>
    </xf>
    <xf numFmtId="2" fontId="34" fillId="2" borderId="2" xfId="0" applyNumberFormat="1" applyFont="1" applyFill="1" applyBorder="1" applyAlignment="1">
      <alignment horizontal="center" vertical="top" wrapText="1"/>
    </xf>
    <xf numFmtId="14" fontId="34" fillId="2" borderId="2" xfId="0" applyNumberFormat="1" applyFont="1" applyFill="1" applyBorder="1" applyAlignment="1">
      <alignment horizontal="center" vertical="top" wrapText="1"/>
    </xf>
    <xf numFmtId="167" fontId="34" fillId="2" borderId="2" xfId="0" applyNumberFormat="1" applyFont="1" applyFill="1" applyBorder="1" applyAlignment="1">
      <alignment horizontal="center" vertical="top" wrapText="1"/>
    </xf>
    <xf numFmtId="49" fontId="32" fillId="0" borderId="0" xfId="0" applyNumberFormat="1" applyFont="1" applyAlignment="1">
      <alignment vertical="top"/>
    </xf>
    <xf numFmtId="14" fontId="34" fillId="2" borderId="5" xfId="0" applyNumberFormat="1" applyFont="1" applyFill="1" applyBorder="1" applyAlignment="1">
      <alignment horizontal="center" vertical="top" wrapText="1"/>
    </xf>
    <xf numFmtId="2" fontId="34" fillId="2" borderId="5" xfId="0" applyNumberFormat="1" applyFont="1" applyFill="1" applyBorder="1" applyAlignment="1">
      <alignment horizontal="center" vertical="top" wrapText="1"/>
    </xf>
    <xf numFmtId="49" fontId="67" fillId="2" borderId="8" xfId="0" applyNumberFormat="1" applyFont="1" applyFill="1" applyBorder="1" applyAlignment="1">
      <alignment horizontal="center" vertical="top" wrapText="1"/>
    </xf>
    <xf numFmtId="2" fontId="67" fillId="2" borderId="9" xfId="0" applyNumberFormat="1" applyFont="1" applyFill="1" applyBorder="1" applyAlignment="1">
      <alignment horizontal="center" vertical="top" wrapText="1"/>
    </xf>
    <xf numFmtId="0" fontId="67" fillId="2" borderId="5" xfId="0" applyFont="1" applyFill="1" applyBorder="1" applyAlignment="1">
      <alignment vertical="top"/>
    </xf>
    <xf numFmtId="2" fontId="67" fillId="2" borderId="0" xfId="0" applyNumberFormat="1" applyFont="1" applyFill="1" applyAlignment="1">
      <alignment horizontal="center" vertical="top" wrapText="1"/>
    </xf>
    <xf numFmtId="2" fontId="67" fillId="2" borderId="5" xfId="0" applyNumberFormat="1" applyFont="1" applyFill="1" applyBorder="1" applyAlignment="1">
      <alignment vertical="top"/>
    </xf>
    <xf numFmtId="0" fontId="67" fillId="2" borderId="8" xfId="0" applyFont="1" applyFill="1" applyBorder="1" applyAlignment="1">
      <alignment vertical="top"/>
    </xf>
    <xf numFmtId="14" fontId="44" fillId="0" borderId="2" xfId="0" applyNumberFormat="1" applyFont="1" applyBorder="1" applyAlignment="1">
      <alignment horizontal="center" vertical="top" wrapText="1"/>
    </xf>
    <xf numFmtId="0" fontId="44" fillId="0" borderId="23" xfId="0" applyFont="1" applyBorder="1" applyAlignment="1">
      <alignment horizontal="center" vertical="center" wrapText="1"/>
    </xf>
    <xf numFmtId="1" fontId="67" fillId="2" borderId="24" xfId="0" applyNumberFormat="1" applyFont="1" applyFill="1" applyBorder="1" applyAlignment="1">
      <alignment horizontal="center" vertical="center" wrapText="1"/>
    </xf>
    <xf numFmtId="49" fontId="67" fillId="0" borderId="16" xfId="0" applyNumberFormat="1" applyFont="1" applyBorder="1" applyAlignment="1">
      <alignment horizontal="center" vertical="center"/>
    </xf>
    <xf numFmtId="0" fontId="67" fillId="2" borderId="2" xfId="0" applyFont="1" applyFill="1" applyBorder="1" applyAlignment="1">
      <alignment horizontal="left" vertical="top" wrapText="1"/>
    </xf>
    <xf numFmtId="3" fontId="67" fillId="0" borderId="23" xfId="0" applyNumberFormat="1" applyFont="1" applyBorder="1" applyAlignment="1">
      <alignment horizontal="center" vertical="center" wrapText="1"/>
    </xf>
    <xf numFmtId="1" fontId="67" fillId="0" borderId="23" xfId="0" applyNumberFormat="1" applyFont="1" applyBorder="1" applyAlignment="1">
      <alignment horizontal="center" vertical="center" wrapText="1"/>
    </xf>
    <xf numFmtId="0" fontId="43" fillId="0" borderId="23" xfId="0" applyFont="1" applyBorder="1" applyAlignment="1">
      <alignment vertical="top"/>
    </xf>
    <xf numFmtId="0" fontId="67" fillId="0" borderId="18" xfId="0" applyFont="1" applyBorder="1" applyAlignment="1">
      <alignment horizontal="center" vertical="center"/>
    </xf>
    <xf numFmtId="3" fontId="67" fillId="0" borderId="18" xfId="0" applyNumberFormat="1" applyFont="1" applyBorder="1" applyAlignment="1">
      <alignment horizontal="center" vertical="center" wrapText="1"/>
    </xf>
    <xf numFmtId="1" fontId="67" fillId="0" borderId="18" xfId="0" applyNumberFormat="1" applyFont="1" applyBorder="1" applyAlignment="1">
      <alignment horizontal="center" vertical="center" wrapText="1"/>
    </xf>
    <xf numFmtId="0" fontId="67" fillId="2" borderId="19" xfId="0" applyFont="1" applyFill="1" applyBorder="1" applyAlignment="1">
      <alignment horizontal="center" wrapText="1"/>
    </xf>
    <xf numFmtId="3" fontId="67" fillId="2" borderId="19" xfId="0" applyNumberFormat="1" applyFont="1" applyFill="1" applyBorder="1" applyAlignment="1">
      <alignment horizontal="center" vertical="center" wrapText="1"/>
    </xf>
    <xf numFmtId="1" fontId="67" fillId="2" borderId="19" xfId="0" applyNumberFormat="1" applyFont="1" applyFill="1" applyBorder="1" applyAlignment="1">
      <alignment horizontal="center" vertical="center" wrapText="1"/>
    </xf>
    <xf numFmtId="3" fontId="67" fillId="0" borderId="19" xfId="0" applyNumberFormat="1" applyFont="1" applyBorder="1" applyAlignment="1">
      <alignment horizontal="center" vertical="center" wrapText="1"/>
    </xf>
    <xf numFmtId="0" fontId="67" fillId="2" borderId="13" xfId="0" applyFont="1" applyFill="1" applyBorder="1" applyAlignment="1">
      <alignment horizontal="center" vertical="center"/>
    </xf>
    <xf numFmtId="49" fontId="67" fillId="0" borderId="13" xfId="0" applyNumberFormat="1" applyFont="1" applyBorder="1" applyAlignment="1">
      <alignment horizontal="center" vertical="center" wrapText="1"/>
    </xf>
    <xf numFmtId="0" fontId="67" fillId="2" borderId="13" xfId="0" applyFont="1" applyFill="1" applyBorder="1" applyAlignment="1">
      <alignment horizontal="center" vertical="center" wrapText="1"/>
    </xf>
    <xf numFmtId="3" fontId="67" fillId="2" borderId="13" xfId="0" applyNumberFormat="1" applyFont="1" applyFill="1" applyBorder="1" applyAlignment="1">
      <alignment horizontal="center" vertical="center" wrapText="1"/>
    </xf>
    <xf numFmtId="1" fontId="67" fillId="2" borderId="13" xfId="0" applyNumberFormat="1" applyFont="1" applyFill="1" applyBorder="1" applyAlignment="1">
      <alignment horizontal="center" vertical="center" wrapText="1"/>
    </xf>
    <xf numFmtId="1" fontId="67" fillId="0" borderId="24" xfId="0" applyNumberFormat="1" applyFont="1" applyBorder="1" applyAlignment="1">
      <alignment horizontal="center" vertical="center" wrapText="1"/>
    </xf>
    <xf numFmtId="0" fontId="67" fillId="2" borderId="24" xfId="0" applyFont="1" applyFill="1" applyBorder="1" applyAlignment="1">
      <alignment horizontal="center" wrapText="1"/>
    </xf>
    <xf numFmtId="0" fontId="67" fillId="0" borderId="21" xfId="19" applyFont="1" applyFill="1" applyBorder="1" applyAlignment="1">
      <alignment horizontal="center" vertical="center"/>
    </xf>
    <xf numFmtId="2" fontId="67" fillId="0" borderId="16" xfId="0" applyNumberFormat="1" applyFont="1" applyBorder="1" applyAlignment="1">
      <alignment horizontal="center" vertical="center" wrapText="1"/>
    </xf>
    <xf numFmtId="0" fontId="67" fillId="0" borderId="0" xfId="19" applyFont="1" applyAlignment="1">
      <alignment horizontal="center" vertical="center"/>
    </xf>
    <xf numFmtId="0" fontId="67" fillId="2" borderId="23" xfId="0" applyFont="1" applyFill="1" applyBorder="1" applyAlignment="1">
      <alignment horizontal="center" vertical="center" wrapText="1"/>
    </xf>
    <xf numFmtId="3" fontId="67" fillId="2" borderId="23" xfId="0" applyNumberFormat="1" applyFont="1" applyFill="1" applyBorder="1" applyAlignment="1">
      <alignment horizontal="center" vertical="center" wrapText="1"/>
    </xf>
    <xf numFmtId="3" fontId="44" fillId="0" borderId="24" xfId="0" applyNumberFormat="1" applyFont="1" applyBorder="1" applyAlignment="1">
      <alignment horizontal="center" vertical="center" wrapText="1"/>
    </xf>
    <xf numFmtId="0" fontId="44" fillId="0" borderId="24" xfId="0" applyFont="1" applyBorder="1" applyAlignment="1">
      <alignment horizontal="center" vertical="center" wrapText="1"/>
    </xf>
    <xf numFmtId="0" fontId="1" fillId="0" borderId="0" xfId="73"/>
    <xf numFmtId="0" fontId="101" fillId="0" borderId="28" xfId="73" applyFont="1" applyBorder="1" applyAlignment="1">
      <alignment horizontal="center" vertical="center" wrapText="1"/>
    </xf>
    <xf numFmtId="0" fontId="101" fillId="0" borderId="32" xfId="73" applyFont="1" applyBorder="1" applyAlignment="1">
      <alignment horizontal="center" vertical="center" wrapText="1"/>
    </xf>
    <xf numFmtId="0" fontId="101" fillId="0" borderId="36" xfId="73" applyFont="1" applyBorder="1" applyAlignment="1">
      <alignment horizontal="center" vertical="center" wrapText="1"/>
    </xf>
    <xf numFmtId="0" fontId="101" fillId="0" borderId="6" xfId="73" applyFont="1" applyBorder="1" applyAlignment="1">
      <alignment horizontal="center" vertical="center" wrapText="1"/>
    </xf>
    <xf numFmtId="0" fontId="1" fillId="0" borderId="6" xfId="73" applyBorder="1" applyAlignment="1">
      <alignment wrapText="1"/>
    </xf>
    <xf numFmtId="3" fontId="101" fillId="0" borderId="6" xfId="73" applyNumberFormat="1" applyFont="1" applyBorder="1" applyAlignment="1">
      <alignment wrapText="1"/>
    </xf>
    <xf numFmtId="1" fontId="101" fillId="0" borderId="0" xfId="73" applyNumberFormat="1" applyFont="1"/>
    <xf numFmtId="4" fontId="67" fillId="5" borderId="2" xfId="0" applyNumberFormat="1" applyFont="1" applyFill="1" applyBorder="1" applyAlignment="1">
      <alignment horizontal="center" vertical="center" wrapText="1"/>
    </xf>
    <xf numFmtId="166" fontId="104" fillId="0" borderId="0" xfId="0" applyNumberFormat="1" applyFont="1" applyAlignment="1">
      <alignment vertical="top"/>
    </xf>
    <xf numFmtId="0" fontId="104" fillId="0" borderId="0" xfId="0" applyFont="1" applyAlignment="1">
      <alignment vertical="top"/>
    </xf>
    <xf numFmtId="4" fontId="104" fillId="0" borderId="0" xfId="0" applyNumberFormat="1" applyFont="1" applyAlignment="1">
      <alignment vertical="top"/>
    </xf>
    <xf numFmtId="165" fontId="104" fillId="0" borderId="0" xfId="0" applyNumberFormat="1" applyFont="1" applyAlignment="1">
      <alignment vertical="top"/>
    </xf>
    <xf numFmtId="2" fontId="104" fillId="0" borderId="0" xfId="0" applyNumberFormat="1" applyFont="1" applyAlignment="1">
      <alignment vertical="top"/>
    </xf>
    <xf numFmtId="2" fontId="105" fillId="0" borderId="0" xfId="0" applyNumberFormat="1" applyFont="1" applyAlignment="1">
      <alignment vertical="top"/>
    </xf>
    <xf numFmtId="0" fontId="67" fillId="0" borderId="24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41" fillId="0" borderId="1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32" fillId="0" borderId="0" xfId="0" applyFont="1" applyAlignment="1">
      <alignment horizontal="center"/>
    </xf>
    <xf numFmtId="0" fontId="99" fillId="0" borderId="0" xfId="0" applyFont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67" fillId="0" borderId="16" xfId="0" applyFont="1" applyBorder="1" applyAlignment="1">
      <alignment horizontal="center" vertical="center"/>
    </xf>
    <xf numFmtId="0" fontId="92" fillId="0" borderId="1" xfId="0" applyFont="1" applyBorder="1" applyAlignment="1">
      <alignment horizontal="center" vertical="center" wrapText="1"/>
    </xf>
    <xf numFmtId="49" fontId="67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2" fillId="0" borderId="1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2" fillId="0" borderId="0" xfId="0" applyFont="1" applyAlignment="1">
      <alignment horizontal="justify" vertical="center"/>
    </xf>
    <xf numFmtId="0" fontId="32" fillId="0" borderId="0" xfId="0" applyFont="1"/>
    <xf numFmtId="0" fontId="41" fillId="0" borderId="1" xfId="0" applyFont="1" applyBorder="1" applyAlignment="1">
      <alignment horizontal="center" vertical="center"/>
    </xf>
    <xf numFmtId="0" fontId="32" fillId="0" borderId="0" xfId="0" applyFont="1" applyAlignment="1">
      <alignment horizontal="right" vertical="center"/>
    </xf>
    <xf numFmtId="0" fontId="101" fillId="0" borderId="28" xfId="73" applyFont="1" applyBorder="1" applyAlignment="1">
      <alignment horizontal="center" vertical="center" wrapText="1"/>
    </xf>
    <xf numFmtId="0" fontId="101" fillId="0" borderId="36" xfId="73" applyFont="1" applyBorder="1" applyAlignment="1">
      <alignment horizontal="center" vertical="center" wrapText="1"/>
    </xf>
    <xf numFmtId="0" fontId="101" fillId="0" borderId="33" xfId="73" applyFont="1" applyBorder="1" applyAlignment="1">
      <alignment horizontal="center" vertical="center" wrapText="1"/>
    </xf>
    <xf numFmtId="0" fontId="101" fillId="0" borderId="34" xfId="73" applyFont="1" applyBorder="1" applyAlignment="1">
      <alignment horizontal="center" vertical="center" wrapText="1"/>
    </xf>
    <xf numFmtId="0" fontId="101" fillId="0" borderId="35" xfId="73" applyFont="1" applyBorder="1" applyAlignment="1">
      <alignment horizontal="center" vertical="center" wrapText="1"/>
    </xf>
    <xf numFmtId="0" fontId="102" fillId="0" borderId="0" xfId="73" applyFont="1" applyAlignment="1">
      <alignment horizontal="left" wrapText="1"/>
    </xf>
    <xf numFmtId="0" fontId="101" fillId="0" borderId="25" xfId="73" applyFont="1" applyBorder="1" applyAlignment="1">
      <alignment horizontal="center" vertical="center" wrapText="1"/>
    </xf>
    <xf numFmtId="0" fontId="101" fillId="0" borderId="26" xfId="73" applyFont="1" applyBorder="1" applyAlignment="1">
      <alignment horizontal="center" vertical="center" wrapText="1"/>
    </xf>
    <xf numFmtId="0" fontId="101" fillId="0" borderId="27" xfId="73" applyFont="1" applyBorder="1" applyAlignment="1">
      <alignment horizontal="center" vertical="center" wrapText="1"/>
    </xf>
    <xf numFmtId="0" fontId="101" fillId="0" borderId="29" xfId="73" applyFont="1" applyBorder="1" applyAlignment="1">
      <alignment horizontal="center" vertical="center" wrapText="1"/>
    </xf>
    <xf numFmtId="0" fontId="101" fillId="0" borderId="30" xfId="73" applyFont="1" applyBorder="1" applyAlignment="1">
      <alignment horizontal="center" vertical="center" wrapText="1"/>
    </xf>
    <xf numFmtId="0" fontId="101" fillId="0" borderId="31" xfId="73" applyFont="1" applyBorder="1" applyAlignment="1">
      <alignment horizontal="center" vertical="center" wrapText="1"/>
    </xf>
    <xf numFmtId="0" fontId="102" fillId="0" borderId="0" xfId="73" applyFont="1" applyAlignment="1">
      <alignment horizontal="center" wrapText="1"/>
    </xf>
  </cellXfs>
  <cellStyles count="75">
    <cellStyle name="Гиперссылка" xfId="19" builtinId="8"/>
    <cellStyle name="Обычный" xfId="0" builtinId="0"/>
    <cellStyle name="Обычный 10" xfId="10" xr:uid="{00000000-0005-0000-0000-000002000000}"/>
    <cellStyle name="Обычный 11" xfId="11" xr:uid="{00000000-0005-0000-0000-000003000000}"/>
    <cellStyle name="Обычный 12" xfId="12" xr:uid="{00000000-0005-0000-0000-000004000000}"/>
    <cellStyle name="Обычный 13" xfId="13" xr:uid="{00000000-0005-0000-0000-000005000000}"/>
    <cellStyle name="Обычный 14" xfId="14" xr:uid="{00000000-0005-0000-0000-000006000000}"/>
    <cellStyle name="Обычный 15" xfId="15" xr:uid="{00000000-0005-0000-0000-000007000000}"/>
    <cellStyle name="Обычный 16" xfId="16" xr:uid="{00000000-0005-0000-0000-000008000000}"/>
    <cellStyle name="Обычный 17" xfId="17" xr:uid="{00000000-0005-0000-0000-000009000000}"/>
    <cellStyle name="Обычный 18" xfId="18" xr:uid="{00000000-0005-0000-0000-00000A000000}"/>
    <cellStyle name="Обычный 19" xfId="20" xr:uid="{00000000-0005-0000-0000-00000B000000}"/>
    <cellStyle name="Обычный 2" xfId="1" xr:uid="{00000000-0005-0000-0000-00000C000000}"/>
    <cellStyle name="Обычный 20" xfId="21" xr:uid="{00000000-0005-0000-0000-00000D000000}"/>
    <cellStyle name="Обычный 21" xfId="22" xr:uid="{00000000-0005-0000-0000-00000E000000}"/>
    <cellStyle name="Обычный 22" xfId="23" xr:uid="{00000000-0005-0000-0000-00000F000000}"/>
    <cellStyle name="Обычный 23" xfId="24" xr:uid="{00000000-0005-0000-0000-000010000000}"/>
    <cellStyle name="Обычный 24" xfId="25" xr:uid="{00000000-0005-0000-0000-000011000000}"/>
    <cellStyle name="Обычный 25" xfId="26" xr:uid="{00000000-0005-0000-0000-000012000000}"/>
    <cellStyle name="Обычный 26" xfId="27" xr:uid="{00000000-0005-0000-0000-000013000000}"/>
    <cellStyle name="Обычный 27" xfId="28" xr:uid="{00000000-0005-0000-0000-000014000000}"/>
    <cellStyle name="Обычный 28" xfId="29" xr:uid="{00000000-0005-0000-0000-000015000000}"/>
    <cellStyle name="Обычный 29" xfId="30" xr:uid="{00000000-0005-0000-0000-000016000000}"/>
    <cellStyle name="Обычный 3" xfId="2" xr:uid="{00000000-0005-0000-0000-000017000000}"/>
    <cellStyle name="Обычный 30" xfId="31" xr:uid="{00000000-0005-0000-0000-000018000000}"/>
    <cellStyle name="Обычный 31" xfId="32" xr:uid="{00000000-0005-0000-0000-000019000000}"/>
    <cellStyle name="Обычный 32" xfId="33" xr:uid="{00000000-0005-0000-0000-00001A000000}"/>
    <cellStyle name="Обычный 33" xfId="34" xr:uid="{00000000-0005-0000-0000-00001B000000}"/>
    <cellStyle name="Обычный 34" xfId="35" xr:uid="{00000000-0005-0000-0000-00001C000000}"/>
    <cellStyle name="Обычный 35" xfId="36" xr:uid="{00000000-0005-0000-0000-00001D000000}"/>
    <cellStyle name="Обычный 36" xfId="37" xr:uid="{00000000-0005-0000-0000-00001E000000}"/>
    <cellStyle name="Обычный 37" xfId="38" xr:uid="{00000000-0005-0000-0000-00001F000000}"/>
    <cellStyle name="Обычный 38" xfId="39" xr:uid="{00000000-0005-0000-0000-000020000000}"/>
    <cellStyle name="Обычный 39" xfId="40" xr:uid="{00000000-0005-0000-0000-000021000000}"/>
    <cellStyle name="Обычный 4" xfId="3" xr:uid="{00000000-0005-0000-0000-000022000000}"/>
    <cellStyle name="Обычный 40" xfId="41" xr:uid="{00000000-0005-0000-0000-000023000000}"/>
    <cellStyle name="Обычный 41" xfId="42" xr:uid="{00000000-0005-0000-0000-000024000000}"/>
    <cellStyle name="Обычный 42" xfId="43" xr:uid="{00000000-0005-0000-0000-000025000000}"/>
    <cellStyle name="Обычный 43" xfId="44" xr:uid="{00000000-0005-0000-0000-000026000000}"/>
    <cellStyle name="Обычный 44" xfId="45" xr:uid="{00000000-0005-0000-0000-000027000000}"/>
    <cellStyle name="Обычный 45" xfId="46" xr:uid="{00000000-0005-0000-0000-000028000000}"/>
    <cellStyle name="Обычный 46" xfId="47" xr:uid="{00000000-0005-0000-0000-000029000000}"/>
    <cellStyle name="Обычный 47" xfId="48" xr:uid="{00000000-0005-0000-0000-00002A000000}"/>
    <cellStyle name="Обычный 48" xfId="49" xr:uid="{00000000-0005-0000-0000-00002B000000}"/>
    <cellStyle name="Обычный 49" xfId="50" xr:uid="{00000000-0005-0000-0000-00002C000000}"/>
    <cellStyle name="Обычный 5" xfId="4" xr:uid="{00000000-0005-0000-0000-00002D000000}"/>
    <cellStyle name="Обычный 50" xfId="51" xr:uid="{00000000-0005-0000-0000-00002E000000}"/>
    <cellStyle name="Обычный 51" xfId="52" xr:uid="{00000000-0005-0000-0000-00002F000000}"/>
    <cellStyle name="Обычный 52" xfId="53" xr:uid="{00000000-0005-0000-0000-000030000000}"/>
    <cellStyle name="Обычный 53" xfId="54" xr:uid="{00000000-0005-0000-0000-000031000000}"/>
    <cellStyle name="Обычный 54" xfId="55" xr:uid="{00000000-0005-0000-0000-000032000000}"/>
    <cellStyle name="Обычный 55" xfId="56" xr:uid="{00000000-0005-0000-0000-000033000000}"/>
    <cellStyle name="Обычный 56" xfId="57" xr:uid="{00000000-0005-0000-0000-000034000000}"/>
    <cellStyle name="Обычный 57" xfId="59" xr:uid="{00000000-0005-0000-0000-000035000000}"/>
    <cellStyle name="Обычный 58" xfId="60" xr:uid="{00000000-0005-0000-0000-000036000000}"/>
    <cellStyle name="Обычный 59" xfId="61" xr:uid="{00000000-0005-0000-0000-000037000000}"/>
    <cellStyle name="Обычный 6" xfId="7" xr:uid="{00000000-0005-0000-0000-000038000000}"/>
    <cellStyle name="Обычный 60" xfId="62" xr:uid="{00000000-0005-0000-0000-000039000000}"/>
    <cellStyle name="Обычный 61" xfId="63" xr:uid="{00000000-0005-0000-0000-00003A000000}"/>
    <cellStyle name="Обычный 62" xfId="64" xr:uid="{00000000-0005-0000-0000-00003B000000}"/>
    <cellStyle name="Обычный 63" xfId="65" xr:uid="{00000000-0005-0000-0000-00003C000000}"/>
    <cellStyle name="Обычный 64" xfId="66" xr:uid="{00000000-0005-0000-0000-00003D000000}"/>
    <cellStyle name="Обычный 65" xfId="67" xr:uid="{00000000-0005-0000-0000-00003E000000}"/>
    <cellStyle name="Обычный 66" xfId="68" xr:uid="{00000000-0005-0000-0000-00003F000000}"/>
    <cellStyle name="Обычный 67" xfId="69" xr:uid="{00000000-0005-0000-0000-000040000000}"/>
    <cellStyle name="Обычный 68" xfId="70" xr:uid="{00000000-0005-0000-0000-000041000000}"/>
    <cellStyle name="Обычный 69" xfId="71" xr:uid="{00000000-0005-0000-0000-000042000000}"/>
    <cellStyle name="Обычный 7" xfId="5" xr:uid="{00000000-0005-0000-0000-000043000000}"/>
    <cellStyle name="Обычный 70" xfId="72" xr:uid="{00000000-0005-0000-0000-000044000000}"/>
    <cellStyle name="Обычный 71" xfId="73" xr:uid="{00000000-0005-0000-0000-000045000000}"/>
    <cellStyle name="Обычный 72" xfId="74" xr:uid="{00000000-0005-0000-0000-000046000000}"/>
    <cellStyle name="Обычный 8" xfId="8" xr:uid="{00000000-0005-0000-0000-000047000000}"/>
    <cellStyle name="Обычный 9" xfId="9" xr:uid="{00000000-0005-0000-0000-000048000000}"/>
    <cellStyle name="Процентный" xfId="58" builtinId="5"/>
    <cellStyle name="Финансовый 2" xfId="6" xr:uid="{00000000-0005-0000-0000-00004A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C8DB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tabColor rgb="FF00B0F0"/>
    <pageSetUpPr fitToPage="1"/>
  </sheetPr>
  <dimension ref="A1:AL165"/>
  <sheetViews>
    <sheetView tabSelected="1" view="pageBreakPreview" topLeftCell="A83" zoomScale="70" zoomScaleNormal="70" zoomScaleSheetLayoutView="70" workbookViewId="0">
      <selection activeCell="A89" sqref="A89:Q105"/>
    </sheetView>
  </sheetViews>
  <sheetFormatPr baseColWidth="10" defaultColWidth="9.1640625" defaultRowHeight="16"/>
  <cols>
    <col min="1" max="1" width="41.5" style="1" customWidth="1"/>
    <col min="2" max="2" width="21.5" style="1" customWidth="1"/>
    <col min="3" max="3" width="30.5" style="1" customWidth="1"/>
    <col min="4" max="4" width="9.1640625" style="1" customWidth="1"/>
    <col min="5" max="5" width="25.5" style="1" customWidth="1"/>
    <col min="6" max="6" width="15.1640625" style="1" customWidth="1"/>
    <col min="7" max="7" width="27.5" style="1" customWidth="1"/>
    <col min="8" max="8" width="16.5" style="1" customWidth="1"/>
    <col min="9" max="9" width="12.1640625" style="1" customWidth="1"/>
    <col min="10" max="10" width="11.1640625" style="1" customWidth="1"/>
    <col min="11" max="11" width="10.33203125" style="1" customWidth="1"/>
    <col min="12" max="12" width="21.33203125" style="1" customWidth="1"/>
    <col min="13" max="13" width="12.5" style="1" customWidth="1"/>
    <col min="14" max="14" width="7.83203125" style="1" customWidth="1"/>
    <col min="15" max="15" width="10.5" style="1" customWidth="1"/>
    <col min="16" max="16" width="8.5" style="1" customWidth="1"/>
    <col min="17" max="17" width="12.6640625" style="1" customWidth="1"/>
    <col min="18" max="18" width="21.1640625" style="1" customWidth="1"/>
    <col min="19" max="19" width="20.83203125" style="1" customWidth="1"/>
    <col min="20" max="20" width="20.5" style="45" customWidth="1"/>
    <col min="21" max="21" width="21" style="44" customWidth="1"/>
    <col min="22" max="22" width="22.5" style="45" customWidth="1"/>
    <col min="23" max="23" width="38.1640625" style="1" customWidth="1"/>
    <col min="24" max="24" width="20.6640625" style="1" customWidth="1"/>
    <col min="25" max="25" width="33.83203125" style="1" customWidth="1"/>
    <col min="26" max="29" width="20.1640625" style="1" customWidth="1"/>
    <col min="30" max="16384" width="9.1640625" style="1"/>
  </cols>
  <sheetData>
    <row r="1" spans="1:38" ht="18">
      <c r="P1" s="8"/>
      <c r="Q1" s="8"/>
    </row>
    <row r="2" spans="1:38" ht="18">
      <c r="P2" s="8"/>
      <c r="Q2" s="8"/>
    </row>
    <row r="3" spans="1:38" ht="18">
      <c r="A3" s="309"/>
      <c r="B3" s="309"/>
      <c r="C3" s="309"/>
      <c r="D3" s="309"/>
      <c r="E3" s="309"/>
      <c r="F3" s="309"/>
      <c r="G3" s="309"/>
      <c r="H3" s="309"/>
      <c r="I3" s="309"/>
      <c r="J3" s="309"/>
      <c r="K3" s="309"/>
      <c r="L3" s="309"/>
      <c r="M3" s="309"/>
      <c r="N3" s="309"/>
      <c r="O3" s="309"/>
      <c r="P3" s="309"/>
      <c r="Q3" s="309"/>
      <c r="R3" s="30"/>
      <c r="S3" s="30"/>
    </row>
    <row r="4" spans="1:38" ht="18">
      <c r="A4" s="38"/>
      <c r="B4" s="38"/>
      <c r="C4" s="38"/>
      <c r="D4" s="38"/>
      <c r="E4" s="38"/>
      <c r="F4" s="38"/>
      <c r="G4" s="38"/>
      <c r="H4" s="38"/>
      <c r="I4" s="3"/>
      <c r="J4" s="38"/>
      <c r="K4" s="38"/>
      <c r="L4" s="5"/>
      <c r="M4" s="38"/>
      <c r="N4" s="38"/>
      <c r="O4" s="38"/>
      <c r="P4" s="38"/>
      <c r="Q4" s="5"/>
      <c r="R4" s="30"/>
      <c r="S4" s="30"/>
    </row>
    <row r="5" spans="1:38" ht="18">
      <c r="A5" s="310"/>
      <c r="B5" s="310"/>
      <c r="C5" s="310"/>
      <c r="D5" s="36"/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308"/>
      <c r="P5" s="308"/>
      <c r="Q5" s="308"/>
      <c r="R5" s="31"/>
      <c r="S5" s="31"/>
    </row>
    <row r="6" spans="1:38" ht="18">
      <c r="A6" s="8"/>
      <c r="B6" s="8"/>
      <c r="C6" s="8"/>
      <c r="D6" s="8"/>
      <c r="E6" s="311"/>
      <c r="F6" s="311"/>
      <c r="G6" s="8"/>
      <c r="H6" s="8"/>
      <c r="I6" s="8"/>
      <c r="J6" s="311"/>
      <c r="K6" s="311"/>
      <c r="L6" s="8"/>
      <c r="M6" s="8"/>
      <c r="N6" s="8"/>
      <c r="O6" s="8"/>
      <c r="P6" s="8"/>
      <c r="Q6" s="8"/>
      <c r="R6" s="32"/>
      <c r="S6" s="32"/>
      <c r="T6" s="46"/>
    </row>
    <row r="7" spans="1:38" ht="18">
      <c r="A7" s="310"/>
      <c r="B7" s="310"/>
      <c r="C7" s="310"/>
      <c r="D7" s="36"/>
      <c r="E7" s="312"/>
      <c r="F7" s="312"/>
      <c r="G7" s="312"/>
      <c r="H7" s="312"/>
      <c r="I7" s="312"/>
      <c r="J7" s="312"/>
      <c r="K7" s="312"/>
      <c r="L7" s="312"/>
      <c r="M7" s="312"/>
      <c r="N7" s="312"/>
      <c r="O7" s="312"/>
      <c r="P7" s="312"/>
      <c r="Q7" s="312"/>
      <c r="R7" s="31"/>
      <c r="S7" s="306"/>
      <c r="T7" s="306"/>
    </row>
    <row r="8" spans="1:38" ht="18">
      <c r="A8" s="8"/>
      <c r="B8" s="8"/>
      <c r="C8" s="8"/>
      <c r="D8" s="8"/>
      <c r="E8" s="311"/>
      <c r="F8" s="311"/>
      <c r="G8" s="8"/>
      <c r="H8" s="8"/>
      <c r="I8" s="8"/>
      <c r="J8" s="311"/>
      <c r="K8" s="311"/>
      <c r="L8" s="8"/>
      <c r="M8" s="8"/>
      <c r="N8" s="8"/>
      <c r="O8" s="8"/>
      <c r="P8" s="8"/>
      <c r="Q8" s="8"/>
      <c r="R8" s="32"/>
      <c r="S8" s="32"/>
    </row>
    <row r="9" spans="1:38" ht="18">
      <c r="A9" s="4"/>
      <c r="B9" s="4"/>
      <c r="C9" s="4"/>
      <c r="D9" s="4"/>
      <c r="E9" s="4"/>
      <c r="F9" s="4"/>
      <c r="G9" s="313"/>
      <c r="H9" s="313"/>
      <c r="I9" s="37"/>
      <c r="J9" s="5"/>
      <c r="K9" s="5"/>
      <c r="L9" s="39"/>
      <c r="M9" s="5"/>
      <c r="N9" s="5"/>
      <c r="O9" s="39"/>
      <c r="P9" s="39"/>
      <c r="Q9" s="39"/>
    </row>
    <row r="10" spans="1:38" ht="21">
      <c r="A10" s="8"/>
      <c r="B10" s="8"/>
      <c r="C10" s="311"/>
      <c r="D10" s="311"/>
      <c r="E10" s="311"/>
      <c r="F10" s="8"/>
      <c r="G10" s="311"/>
      <c r="H10" s="311"/>
      <c r="I10" s="8"/>
      <c r="J10" s="6"/>
      <c r="K10" s="6"/>
      <c r="L10" s="7"/>
      <c r="M10" s="8"/>
      <c r="N10" s="6"/>
      <c r="O10" s="7"/>
      <c r="P10" s="7"/>
      <c r="Q10" s="7"/>
      <c r="S10" s="33"/>
      <c r="V10" s="46"/>
      <c r="X10" s="12"/>
      <c r="Y10" s="12"/>
      <c r="Z10" s="12"/>
      <c r="AA10" s="12"/>
      <c r="AB10" s="12"/>
      <c r="AC10" s="12"/>
    </row>
    <row r="11" spans="1:38" ht="18">
      <c r="A11" s="307" t="s">
        <v>51</v>
      </c>
      <c r="B11" s="307"/>
      <c r="C11" s="307"/>
      <c r="D11" s="307"/>
      <c r="E11" s="307"/>
      <c r="F11" s="307"/>
      <c r="G11" s="307"/>
      <c r="H11" s="308" t="s">
        <v>9</v>
      </c>
      <c r="I11" s="308"/>
      <c r="J11" s="308"/>
      <c r="K11" s="308"/>
      <c r="L11" s="308"/>
      <c r="M11" s="4"/>
      <c r="N11" s="4"/>
      <c r="O11" s="4"/>
      <c r="P11" s="4"/>
      <c r="Q11" s="8"/>
      <c r="R11" s="32"/>
      <c r="S11" s="34"/>
      <c r="U11" s="47"/>
      <c r="X11" s="12"/>
      <c r="Y11" s="12"/>
      <c r="Z11" s="12"/>
      <c r="AA11" s="12"/>
      <c r="AB11" s="12"/>
      <c r="AC11" s="12"/>
    </row>
    <row r="12" spans="1:38" ht="18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35"/>
      <c r="S12" s="35"/>
      <c r="X12" s="12"/>
      <c r="Y12" s="12"/>
      <c r="Z12" s="12"/>
      <c r="AA12" s="12"/>
      <c r="AB12" s="12"/>
      <c r="AC12" s="12"/>
    </row>
    <row r="13" spans="1:38" ht="210" customHeight="1">
      <c r="A13" s="9" t="s">
        <v>3</v>
      </c>
      <c r="B13" s="10" t="s">
        <v>0</v>
      </c>
      <c r="C13" s="11" t="s">
        <v>32</v>
      </c>
      <c r="D13" s="11" t="s">
        <v>33</v>
      </c>
      <c r="E13" s="11" t="s">
        <v>34</v>
      </c>
      <c r="F13" s="11" t="s">
        <v>35</v>
      </c>
      <c r="G13" s="11" t="s">
        <v>61</v>
      </c>
      <c r="H13" s="11" t="s">
        <v>46</v>
      </c>
      <c r="I13" s="11" t="s">
        <v>5</v>
      </c>
      <c r="J13" s="11" t="s">
        <v>6</v>
      </c>
      <c r="K13" s="11" t="s">
        <v>71</v>
      </c>
      <c r="L13" s="11" t="s">
        <v>7</v>
      </c>
      <c r="M13" s="21" t="s">
        <v>36</v>
      </c>
      <c r="N13" s="21" t="s">
        <v>68</v>
      </c>
      <c r="O13" s="21" t="s">
        <v>8</v>
      </c>
      <c r="P13" s="21" t="s">
        <v>67</v>
      </c>
      <c r="Q13" s="21" t="s">
        <v>69</v>
      </c>
      <c r="T13" s="40" t="s">
        <v>10</v>
      </c>
      <c r="U13" s="40" t="s">
        <v>11</v>
      </c>
      <c r="V13" s="40" t="s">
        <v>37</v>
      </c>
      <c r="X13" s="12"/>
      <c r="Y13" s="12"/>
      <c r="Z13" s="12"/>
      <c r="AA13" s="12"/>
      <c r="AB13" s="12"/>
      <c r="AC13" s="12"/>
    </row>
    <row r="14" spans="1:38" s="16" customFormat="1" ht="16.5" customHeight="1">
      <c r="A14" s="227">
        <v>1</v>
      </c>
      <c r="B14" s="162" t="s">
        <v>9</v>
      </c>
      <c r="C14" s="161" t="s">
        <v>53</v>
      </c>
      <c r="D14" s="163">
        <v>2</v>
      </c>
      <c r="E14" s="234"/>
      <c r="F14" s="234"/>
      <c r="G14" s="164"/>
      <c r="H14" s="234"/>
      <c r="I14" s="174" t="s">
        <v>79</v>
      </c>
      <c r="J14" s="178" t="str">
        <f>RIGHT(I14,5)</f>
        <v>01:16</v>
      </c>
      <c r="K14" s="183" t="s">
        <v>93</v>
      </c>
      <c r="L14" s="179" t="s">
        <v>54</v>
      </c>
      <c r="M14" s="174" t="s">
        <v>78</v>
      </c>
      <c r="N14" s="180" t="str">
        <f>RIGHT(M14,5)</f>
        <v>03:19</v>
      </c>
      <c r="O14" s="173" t="str">
        <f>K14</f>
        <v>№464</v>
      </c>
      <c r="P14" s="181">
        <f>(M14-I14)*24</f>
        <v>2.0500000000465661</v>
      </c>
      <c r="Q14" s="181">
        <f>P14*2</f>
        <v>4.1000000000931323</v>
      </c>
      <c r="R14" s="291" t="s">
        <v>284</v>
      </c>
      <c r="S14" s="292">
        <f>SUMIF(A:A,"*нахождения в эксплуатации*",G:G)</f>
        <v>18001.800000000978</v>
      </c>
      <c r="T14" s="174" t="s">
        <v>80</v>
      </c>
      <c r="U14" s="175">
        <f>(I14-T14)*24</f>
        <v>8.5166666666627862</v>
      </c>
      <c r="V14" s="175">
        <f>IF(U14&lt;=1,0,U14-U14)</f>
        <v>0</v>
      </c>
      <c r="W14" s="61"/>
      <c r="Y14" s="62"/>
      <c r="Z14" s="63"/>
      <c r="AB14" s="43"/>
      <c r="AC14" s="62"/>
      <c r="AD14" s="63"/>
      <c r="AE14" s="64"/>
      <c r="AF14" s="65"/>
      <c r="AG14" s="65"/>
      <c r="AI14" s="20"/>
      <c r="AJ14" s="62"/>
      <c r="AK14" s="66"/>
      <c r="AL14" s="67"/>
    </row>
    <row r="15" spans="1:38" s="16" customFormat="1" ht="16.5" customHeight="1">
      <c r="A15" s="227">
        <v>2</v>
      </c>
      <c r="B15" s="162" t="s">
        <v>9</v>
      </c>
      <c r="C15" s="161" t="s">
        <v>53</v>
      </c>
      <c r="D15" s="163">
        <v>2</v>
      </c>
      <c r="E15" s="234"/>
      <c r="F15" s="234"/>
      <c r="G15" s="164"/>
      <c r="H15" s="234"/>
      <c r="I15" s="174" t="s">
        <v>125</v>
      </c>
      <c r="J15" s="178" t="str">
        <f>RIGHT(I15,5)</f>
        <v>16:08</v>
      </c>
      <c r="K15" s="183" t="s">
        <v>127</v>
      </c>
      <c r="L15" s="179" t="s">
        <v>74</v>
      </c>
      <c r="M15" s="174" t="s">
        <v>126</v>
      </c>
      <c r="N15" s="180" t="str">
        <f>RIGHT(M15,5)</f>
        <v>18:04</v>
      </c>
      <c r="O15" s="173" t="str">
        <f>K15</f>
        <v>№231</v>
      </c>
      <c r="P15" s="181">
        <f>(M15-I15)*24</f>
        <v>1.9333333333488554</v>
      </c>
      <c r="Q15" s="290">
        <f>P15*2</f>
        <v>3.8666666666977108</v>
      </c>
      <c r="R15" s="291" t="s">
        <v>285</v>
      </c>
      <c r="S15" s="292">
        <f>SUMIF(A:A,"*км.пробега*",G:G)</f>
        <v>492026</v>
      </c>
      <c r="T15" s="174" t="s">
        <v>124</v>
      </c>
      <c r="U15" s="175">
        <f>(I15-T15)*24</f>
        <v>16.666666666686069</v>
      </c>
      <c r="V15" s="175">
        <f>U15</f>
        <v>16.666666666686069</v>
      </c>
      <c r="W15" s="61"/>
      <c r="Y15" s="62"/>
      <c r="Z15" s="63"/>
      <c r="AB15" s="43"/>
      <c r="AC15" s="62"/>
      <c r="AD15" s="63"/>
      <c r="AE15" s="64"/>
      <c r="AF15" s="65"/>
      <c r="AG15" s="65"/>
      <c r="AI15" s="20"/>
      <c r="AJ15" s="62"/>
      <c r="AK15" s="66"/>
      <c r="AL15" s="67"/>
    </row>
    <row r="16" spans="1:38" s="16" customFormat="1" ht="16.5" customHeight="1" thickBot="1">
      <c r="A16" s="227">
        <v>3</v>
      </c>
      <c r="B16" s="162" t="s">
        <v>9</v>
      </c>
      <c r="C16" s="161" t="s">
        <v>53</v>
      </c>
      <c r="D16" s="163">
        <v>2</v>
      </c>
      <c r="E16" s="234"/>
      <c r="F16" s="234"/>
      <c r="G16" s="164"/>
      <c r="H16" s="234"/>
      <c r="I16" s="174" t="s">
        <v>159</v>
      </c>
      <c r="J16" s="178" t="str">
        <f>RIGHT(I16,5)</f>
        <v>16:46</v>
      </c>
      <c r="K16" s="183" t="s">
        <v>179</v>
      </c>
      <c r="L16" s="179" t="s">
        <v>54</v>
      </c>
      <c r="M16" s="174" t="s">
        <v>160</v>
      </c>
      <c r="N16" s="180" t="str">
        <f>RIGHT(M16,5)</f>
        <v>18:50</v>
      </c>
      <c r="O16" s="173" t="str">
        <f>K16</f>
        <v>№616</v>
      </c>
      <c r="P16" s="181">
        <f>(M16-I16)*24</f>
        <v>2.066666666592937</v>
      </c>
      <c r="Q16" s="181">
        <f>P16*2</f>
        <v>4.1333333331858739</v>
      </c>
      <c r="R16" s="291" t="s">
        <v>286</v>
      </c>
      <c r="S16" s="293">
        <f>SUMIF(A:A,"*на Обслуживании*",G:G)-S17</f>
        <v>430.89999999920838</v>
      </c>
      <c r="T16" s="174" t="s">
        <v>158</v>
      </c>
      <c r="U16" s="175">
        <f>(I16-T16)*24</f>
        <v>2.4499999999534339</v>
      </c>
      <c r="V16" s="175">
        <f>IF(U16&lt;=1,0,U16-U16)</f>
        <v>0</v>
      </c>
      <c r="W16" s="61"/>
      <c r="Y16" s="62"/>
      <c r="Z16" s="63"/>
      <c r="AB16" s="43"/>
      <c r="AC16" s="62"/>
      <c r="AD16" s="63"/>
      <c r="AE16" s="64"/>
      <c r="AF16" s="65"/>
      <c r="AG16" s="65"/>
      <c r="AI16" s="20"/>
      <c r="AJ16" s="62"/>
      <c r="AK16" s="66"/>
      <c r="AL16" s="67"/>
    </row>
    <row r="17" spans="1:25" s="16" customFormat="1" ht="17.25" customHeight="1" thickBot="1">
      <c r="A17" s="165" t="s">
        <v>1</v>
      </c>
      <c r="B17" s="166"/>
      <c r="C17" s="167"/>
      <c r="D17" s="168"/>
      <c r="E17" s="168"/>
      <c r="F17" s="168"/>
      <c r="G17" s="169"/>
      <c r="H17" s="170"/>
      <c r="I17" s="69"/>
      <c r="J17" s="69"/>
      <c r="K17" s="70"/>
      <c r="L17" s="69"/>
      <c r="M17" s="69"/>
      <c r="N17" s="69"/>
      <c r="O17" s="69"/>
      <c r="P17" s="69"/>
      <c r="Q17" s="69"/>
      <c r="R17" s="291" t="s">
        <v>74</v>
      </c>
      <c r="S17" s="292">
        <f>SUMIF(A:A,"*на Обслуживании по вине Исполнителя*",G:G)</f>
        <v>113.63333333283663</v>
      </c>
      <c r="T17" s="176"/>
      <c r="U17" s="177">
        <f>SUM(U14:U16)*2</f>
        <v>55.266666666604578</v>
      </c>
      <c r="V17" s="177">
        <f>SUM(V14:V16)*2</f>
        <v>33.333333333372138</v>
      </c>
      <c r="Y17" s="71"/>
    </row>
    <row r="18" spans="1:25" s="16" customFormat="1" ht="17.5" customHeight="1">
      <c r="A18" s="165" t="s">
        <v>2</v>
      </c>
      <c r="B18" s="166"/>
      <c r="C18" s="167"/>
      <c r="D18" s="257"/>
      <c r="E18" s="171">
        <f>Пробеги!E20+Пробеги!E21</f>
        <v>38796</v>
      </c>
      <c r="F18" s="172">
        <f>E18</f>
        <v>38796</v>
      </c>
      <c r="G18" s="173">
        <v>0</v>
      </c>
      <c r="H18" s="171">
        <f>F18</f>
        <v>38796</v>
      </c>
      <c r="I18" s="72"/>
      <c r="J18" s="137"/>
      <c r="K18" s="138"/>
      <c r="L18" s="139"/>
      <c r="M18" s="73"/>
      <c r="N18" s="73"/>
      <c r="O18" s="73"/>
      <c r="P18" s="73"/>
      <c r="Q18" s="19"/>
      <c r="R18" s="292" t="s">
        <v>287</v>
      </c>
      <c r="S18" s="292">
        <f>SUMIF(A:A,"*на Обслуживании по рекламационным ремонтам*",G:G)</f>
        <v>0</v>
      </c>
      <c r="T18" s="74"/>
      <c r="U18" s="75"/>
      <c r="V18" s="248"/>
      <c r="W18" s="23"/>
      <c r="Y18" s="18"/>
    </row>
    <row r="19" spans="1:25" s="16" customFormat="1" ht="15.75" customHeight="1">
      <c r="A19" s="227">
        <v>1</v>
      </c>
      <c r="B19" s="179" t="s">
        <v>9</v>
      </c>
      <c r="C19" s="182" t="s">
        <v>47</v>
      </c>
      <c r="D19" s="183">
        <v>2</v>
      </c>
      <c r="E19" s="234"/>
      <c r="F19" s="234"/>
      <c r="G19" s="164"/>
      <c r="H19" s="234"/>
      <c r="I19" s="174" t="s">
        <v>101</v>
      </c>
      <c r="J19" s="178" t="str">
        <f>RIGHT(I19,5)</f>
        <v>10:50</v>
      </c>
      <c r="K19" s="183" t="s">
        <v>114</v>
      </c>
      <c r="L19" s="179" t="s">
        <v>54</v>
      </c>
      <c r="M19" s="174" t="s">
        <v>102</v>
      </c>
      <c r="N19" s="180" t="str">
        <f>RIGHT(M19,5)</f>
        <v>12:54</v>
      </c>
      <c r="O19" s="173" t="str">
        <f>K19</f>
        <v>№486</v>
      </c>
      <c r="P19" s="181">
        <f>(M19-I19)*24</f>
        <v>2.066666666592937</v>
      </c>
      <c r="Q19" s="181">
        <f>P19*2</f>
        <v>4.1333333331858739</v>
      </c>
      <c r="R19" s="292" t="s">
        <v>288</v>
      </c>
      <c r="S19" s="292">
        <f>SUMIF(A:A,"*административных издержек*",G:G)</f>
        <v>338.50000000011642</v>
      </c>
      <c r="T19" s="174" t="s">
        <v>100</v>
      </c>
      <c r="U19" s="175">
        <f>(I19-T19)*24</f>
        <v>4.4000000000232831</v>
      </c>
      <c r="V19" s="175">
        <f>IF(U19&lt;=1,0,U19-U19)</f>
        <v>0</v>
      </c>
      <c r="Y19" s="76"/>
    </row>
    <row r="20" spans="1:25" s="16" customFormat="1" ht="15.75" customHeight="1" thickBot="1">
      <c r="A20" s="227">
        <v>2</v>
      </c>
      <c r="B20" s="179" t="s">
        <v>9</v>
      </c>
      <c r="C20" s="182" t="s">
        <v>47</v>
      </c>
      <c r="D20" s="183">
        <v>2</v>
      </c>
      <c r="E20" s="234"/>
      <c r="F20" s="234"/>
      <c r="G20" s="164"/>
      <c r="H20" s="234"/>
      <c r="I20" s="174" t="s">
        <v>191</v>
      </c>
      <c r="J20" s="178" t="str">
        <f>RIGHT(I20,5)</f>
        <v>00:47</v>
      </c>
      <c r="K20" s="183" t="s">
        <v>193</v>
      </c>
      <c r="L20" s="179" t="s">
        <v>54</v>
      </c>
      <c r="M20" s="174" t="s">
        <v>192</v>
      </c>
      <c r="N20" s="180" t="str">
        <f>RIGHT(M20,5)</f>
        <v>02:48</v>
      </c>
      <c r="O20" s="173" t="str">
        <f>K20</f>
        <v>№636</v>
      </c>
      <c r="P20" s="181">
        <f>(M20-I20)*24</f>
        <v>2.0166666667792015</v>
      </c>
      <c r="Q20" s="181">
        <f>P20*2</f>
        <v>4.033333333558403</v>
      </c>
      <c r="R20" s="291" t="s">
        <v>289</v>
      </c>
      <c r="S20" s="294" t="e">
        <f>#REF!</f>
        <v>#REF!</v>
      </c>
      <c r="T20" s="174" t="s">
        <v>190</v>
      </c>
      <c r="U20" s="175">
        <f>(I20-T20)*24</f>
        <v>6.0499999999883585</v>
      </c>
      <c r="V20" s="175">
        <f>IF(U20&lt;=1,0,U20-U20)</f>
        <v>0</v>
      </c>
      <c r="Y20" s="76"/>
    </row>
    <row r="21" spans="1:25" s="16" customFormat="1" ht="17.25" customHeight="1" thickBot="1">
      <c r="A21" s="165" t="s">
        <v>1</v>
      </c>
      <c r="B21" s="166"/>
      <c r="C21" s="167"/>
      <c r="D21" s="168"/>
      <c r="E21" s="168"/>
      <c r="F21" s="168"/>
      <c r="G21" s="169"/>
      <c r="H21" s="170"/>
      <c r="I21" s="56"/>
      <c r="J21" s="57"/>
      <c r="K21" s="55"/>
      <c r="L21" s="54"/>
      <c r="M21" s="77"/>
      <c r="N21" s="58"/>
      <c r="O21" s="59"/>
      <c r="P21" s="60"/>
      <c r="Q21" s="60"/>
      <c r="R21" s="295" t="s">
        <v>290</v>
      </c>
      <c r="S21" s="295">
        <f>U62-V62+Z95+Z93+Z96+Z97+Z98+Z99+Z100+Z101+Z102</f>
        <v>59.500000000116415</v>
      </c>
      <c r="T21" s="184"/>
      <c r="U21" s="177">
        <f>SUM(U19:U20)*2</f>
        <v>20.900000000023283</v>
      </c>
      <c r="V21" s="177">
        <f>SUM(V19:V20)*2</f>
        <v>0</v>
      </c>
      <c r="Y21" s="78"/>
    </row>
    <row r="22" spans="1:25" s="16" customFormat="1" ht="17.25" customHeight="1">
      <c r="A22" s="165" t="s">
        <v>2</v>
      </c>
      <c r="B22" s="166"/>
      <c r="C22" s="167"/>
      <c r="D22" s="257"/>
      <c r="E22" s="171">
        <f>Пробеги!E22+Пробеги!E23</f>
        <v>43322</v>
      </c>
      <c r="F22" s="172">
        <f>E22</f>
        <v>43322</v>
      </c>
      <c r="G22" s="173">
        <v>0</v>
      </c>
      <c r="H22" s="171">
        <f>F22</f>
        <v>43322</v>
      </c>
      <c r="I22" s="14"/>
      <c r="J22" s="14"/>
      <c r="K22" s="59"/>
      <c r="L22" s="68"/>
      <c r="M22" s="68"/>
      <c r="N22" s="68"/>
      <c r="O22" s="68"/>
      <c r="P22" s="68"/>
      <c r="Q22" s="15"/>
      <c r="R22" s="296" t="s">
        <v>291</v>
      </c>
      <c r="S22" s="296">
        <f>Z78+Z79+Z80+Z81</f>
        <v>17.666666666627862</v>
      </c>
      <c r="T22" s="79"/>
      <c r="U22" s="80"/>
      <c r="V22" s="249"/>
    </row>
    <row r="23" spans="1:25" s="16" customFormat="1" ht="18" customHeight="1">
      <c r="A23" s="227">
        <v>1</v>
      </c>
      <c r="B23" s="186" t="s">
        <v>9</v>
      </c>
      <c r="C23" s="256" t="s">
        <v>55</v>
      </c>
      <c r="D23" s="183">
        <v>2</v>
      </c>
      <c r="E23" s="234"/>
      <c r="F23" s="234"/>
      <c r="G23" s="164"/>
      <c r="H23" s="234"/>
      <c r="I23" s="174" t="s">
        <v>99</v>
      </c>
      <c r="J23" s="178" t="str">
        <f>RIGHT(I23,5)</f>
        <v>09:49</v>
      </c>
      <c r="K23" s="183" t="s">
        <v>130</v>
      </c>
      <c r="L23" s="179" t="s">
        <v>98</v>
      </c>
      <c r="M23" s="174" t="s">
        <v>131</v>
      </c>
      <c r="N23" s="180" t="str">
        <f>RIGHT(M23,5)</f>
        <v>18:11</v>
      </c>
      <c r="O23" s="173" t="str">
        <f>K23</f>
        <v>№5</v>
      </c>
      <c r="P23" s="181">
        <f>(M23-I23)*24</f>
        <v>56.366666666697711</v>
      </c>
      <c r="Q23" s="181">
        <f>P23*2</f>
        <v>112.73333333339542</v>
      </c>
      <c r="R23" s="295" t="s">
        <v>292</v>
      </c>
      <c r="S23" s="296">
        <f>Z112+Z113</f>
        <v>0</v>
      </c>
      <c r="T23" s="174" t="s">
        <v>97</v>
      </c>
      <c r="U23" s="175">
        <f>(I23-T23)*24</f>
        <v>35.383333333418705</v>
      </c>
      <c r="V23" s="175">
        <f>U23-U23</f>
        <v>0</v>
      </c>
      <c r="W23" s="23"/>
    </row>
    <row r="24" spans="1:25" s="16" customFormat="1" ht="18" customHeight="1" thickBot="1">
      <c r="A24" s="227">
        <v>2</v>
      </c>
      <c r="B24" s="186" t="s">
        <v>9</v>
      </c>
      <c r="C24" s="256" t="s">
        <v>55</v>
      </c>
      <c r="D24" s="183">
        <v>2</v>
      </c>
      <c r="E24" s="234"/>
      <c r="F24" s="234"/>
      <c r="G24" s="164"/>
      <c r="H24" s="234"/>
      <c r="I24" s="174" t="s">
        <v>134</v>
      </c>
      <c r="J24" s="178" t="str">
        <f>RIGHT(I24,5)</f>
        <v>03:10</v>
      </c>
      <c r="K24" s="183" t="s">
        <v>144</v>
      </c>
      <c r="L24" s="179" t="s">
        <v>54</v>
      </c>
      <c r="M24" s="174" t="s">
        <v>135</v>
      </c>
      <c r="N24" s="180" t="str">
        <f>RIGHT(M24,5)</f>
        <v>05:06</v>
      </c>
      <c r="O24" s="173" t="str">
        <f>K24</f>
        <v>№570</v>
      </c>
      <c r="P24" s="181">
        <f>(M24-I24)*24</f>
        <v>1.9333333333488554</v>
      </c>
      <c r="Q24" s="181">
        <f>P24*2</f>
        <v>3.8666666666977108</v>
      </c>
      <c r="S24" s="28"/>
      <c r="T24" s="174" t="s">
        <v>133</v>
      </c>
      <c r="U24" s="175">
        <f>(I24-T24)*24</f>
        <v>0.88333333341870457</v>
      </c>
      <c r="V24" s="175">
        <f>IF(U24&lt;=1,0,U24-U24)</f>
        <v>0</v>
      </c>
      <c r="W24" s="23"/>
    </row>
    <row r="25" spans="1:25" s="16" customFormat="1" ht="18" customHeight="1" thickBot="1">
      <c r="A25" s="165" t="s">
        <v>38</v>
      </c>
      <c r="B25" s="166"/>
      <c r="C25" s="167"/>
      <c r="D25" s="168"/>
      <c r="E25" s="168"/>
      <c r="F25" s="168"/>
      <c r="G25" s="175"/>
      <c r="H25" s="170"/>
      <c r="I25" s="68"/>
      <c r="J25" s="14"/>
      <c r="K25" s="68"/>
      <c r="L25" s="68"/>
      <c r="M25" s="68"/>
      <c r="N25" s="81"/>
      <c r="O25" s="68"/>
      <c r="P25" s="68"/>
      <c r="Q25" s="15"/>
      <c r="S25" s="28"/>
      <c r="T25" s="247"/>
      <c r="U25" s="177">
        <f>SUM(U23:U24)*2</f>
        <v>72.533333333674818</v>
      </c>
      <c r="V25" s="177">
        <f>SUM(V23:V24)*2</f>
        <v>0</v>
      </c>
    </row>
    <row r="26" spans="1:25" s="16" customFormat="1" ht="18" customHeight="1">
      <c r="A26" s="165" t="s">
        <v>39</v>
      </c>
      <c r="B26" s="166"/>
      <c r="C26" s="167"/>
      <c r="D26" s="168"/>
      <c r="E26" s="171">
        <f>Пробеги!E24+Пробеги!E25</f>
        <v>37596</v>
      </c>
      <c r="F26" s="172">
        <f>E26</f>
        <v>37596</v>
      </c>
      <c r="G26" s="190">
        <v>0</v>
      </c>
      <c r="H26" s="171">
        <f>F26</f>
        <v>37596</v>
      </c>
      <c r="I26" s="68"/>
      <c r="J26" s="14"/>
      <c r="K26" s="68"/>
      <c r="L26" s="68"/>
      <c r="M26" s="68"/>
      <c r="N26" s="68"/>
      <c r="O26" s="68"/>
      <c r="P26" s="68"/>
      <c r="Q26" s="15"/>
      <c r="R26" s="23"/>
      <c r="S26" s="28"/>
      <c r="T26" s="79"/>
      <c r="U26" s="80"/>
      <c r="V26" s="207"/>
    </row>
    <row r="27" spans="1:25" s="238" customFormat="1" ht="15.75" customHeight="1">
      <c r="A27" s="161">
        <v>1</v>
      </c>
      <c r="B27" s="179" t="s">
        <v>9</v>
      </c>
      <c r="C27" s="182" t="s">
        <v>57</v>
      </c>
      <c r="D27" s="183">
        <v>2</v>
      </c>
      <c r="E27" s="260"/>
      <c r="F27" s="260"/>
      <c r="G27" s="164"/>
      <c r="H27" s="260"/>
      <c r="I27" s="174" t="s">
        <v>106</v>
      </c>
      <c r="J27" s="178" t="str">
        <f>RIGHT(I27,5)</f>
        <v>11:10</v>
      </c>
      <c r="K27" s="183" t="s">
        <v>128</v>
      </c>
      <c r="L27" s="179" t="s">
        <v>74</v>
      </c>
      <c r="M27" s="174" t="s">
        <v>107</v>
      </c>
      <c r="N27" s="180" t="str">
        <f>RIGHT(M27,5)</f>
        <v>11:21</v>
      </c>
      <c r="O27" s="173" t="str">
        <f>K27</f>
        <v>№216</v>
      </c>
      <c r="P27" s="181">
        <f>(M27-I27)*24</f>
        <v>48.18333333323244</v>
      </c>
      <c r="Q27" s="290">
        <f>P27*2</f>
        <v>96.36666666646488</v>
      </c>
      <c r="R27" s="16"/>
      <c r="S27" s="28"/>
      <c r="T27" s="174" t="s">
        <v>106</v>
      </c>
      <c r="U27" s="175">
        <f>(I27-T27)*24</f>
        <v>0</v>
      </c>
      <c r="V27" s="175">
        <f>U27</f>
        <v>0</v>
      </c>
      <c r="Y27" s="239"/>
    </row>
    <row r="28" spans="1:25" s="238" customFormat="1" ht="15.75" customHeight="1" thickBot="1">
      <c r="A28" s="227">
        <v>2</v>
      </c>
      <c r="B28" s="179" t="s">
        <v>9</v>
      </c>
      <c r="C28" s="182" t="s">
        <v>57</v>
      </c>
      <c r="D28" s="183">
        <v>2</v>
      </c>
      <c r="E28" s="234"/>
      <c r="F28" s="234"/>
      <c r="G28" s="164"/>
      <c r="H28" s="234"/>
      <c r="I28" s="174" t="s">
        <v>151</v>
      </c>
      <c r="J28" s="178" t="str">
        <f>RIGHT(I28,5)</f>
        <v>23:07</v>
      </c>
      <c r="K28" s="183" t="s">
        <v>184</v>
      </c>
      <c r="L28" s="179" t="s">
        <v>54</v>
      </c>
      <c r="M28" s="174" t="s">
        <v>152</v>
      </c>
      <c r="N28" s="180" t="str">
        <f>RIGHT(M28,5)</f>
        <v>01:04</v>
      </c>
      <c r="O28" s="173" t="str">
        <f>K28</f>
        <v>№585</v>
      </c>
      <c r="P28" s="181">
        <f>(M28-I28)*24</f>
        <v>1.9500000000698492</v>
      </c>
      <c r="Q28" s="181">
        <f>P28*2</f>
        <v>3.9000000001396984</v>
      </c>
      <c r="R28" s="16"/>
      <c r="S28" s="28"/>
      <c r="T28" s="174" t="s">
        <v>150</v>
      </c>
      <c r="U28" s="175">
        <f>(I28-T28)*24</f>
        <v>1.6333333332440816</v>
      </c>
      <c r="V28" s="175">
        <f>IF(U28&lt;=1,0,U28-U28)</f>
        <v>0</v>
      </c>
      <c r="Y28" s="239"/>
    </row>
    <row r="29" spans="1:25" s="238" customFormat="1" ht="18" customHeight="1" thickBot="1">
      <c r="A29" s="165" t="s">
        <v>38</v>
      </c>
      <c r="B29" s="166"/>
      <c r="C29" s="166"/>
      <c r="D29" s="168"/>
      <c r="E29" s="168"/>
      <c r="F29" s="168"/>
      <c r="G29" s="175"/>
      <c r="H29" s="170"/>
      <c r="I29" s="242"/>
      <c r="J29" s="243"/>
      <c r="K29" s="237"/>
      <c r="L29" s="232"/>
      <c r="M29" s="240"/>
      <c r="N29" s="240"/>
      <c r="O29" s="240"/>
      <c r="P29" s="240"/>
      <c r="Q29" s="241"/>
      <c r="S29" s="244"/>
      <c r="T29" s="247"/>
      <c r="U29" s="191">
        <f>SUM(U27:U28)*2</f>
        <v>3.2666666664881632</v>
      </c>
      <c r="V29" s="191">
        <f>SUM(V27:V28)*2</f>
        <v>0</v>
      </c>
    </row>
    <row r="30" spans="1:25" s="238" customFormat="1" ht="17.25" customHeight="1">
      <c r="A30" s="165" t="s">
        <v>39</v>
      </c>
      <c r="B30" s="166"/>
      <c r="C30" s="167"/>
      <c r="D30" s="168"/>
      <c r="E30" s="171">
        <f>Пробеги!E26+Пробеги!E27</f>
        <v>40694</v>
      </c>
      <c r="F30" s="171">
        <f>E30</f>
        <v>40694</v>
      </c>
      <c r="G30" s="187">
        <v>0</v>
      </c>
      <c r="H30" s="171">
        <f>F30</f>
        <v>40694</v>
      </c>
      <c r="I30" s="242"/>
      <c r="J30" s="243"/>
      <c r="K30" s="237"/>
      <c r="L30" s="240"/>
      <c r="M30" s="240"/>
      <c r="N30" s="240"/>
      <c r="O30" s="240"/>
      <c r="P30" s="240"/>
      <c r="Q30" s="241"/>
      <c r="T30" s="245"/>
      <c r="U30" s="246"/>
      <c r="V30" s="207"/>
    </row>
    <row r="31" spans="1:25" s="16" customFormat="1" ht="15.75" customHeight="1">
      <c r="A31" s="185">
        <v>1</v>
      </c>
      <c r="B31" s="186" t="s">
        <v>9</v>
      </c>
      <c r="C31" s="182" t="s">
        <v>58</v>
      </c>
      <c r="D31" s="183">
        <v>2</v>
      </c>
      <c r="E31" s="127"/>
      <c r="F31" s="127"/>
      <c r="G31" s="254"/>
      <c r="H31" s="127"/>
      <c r="I31" s="174" t="s">
        <v>82</v>
      </c>
      <c r="J31" s="178" t="str">
        <f>RIGHT(I31,5)</f>
        <v>05:12</v>
      </c>
      <c r="K31" s="183" t="s">
        <v>94</v>
      </c>
      <c r="L31" s="179" t="s">
        <v>54</v>
      </c>
      <c r="M31" s="174" t="s">
        <v>81</v>
      </c>
      <c r="N31" s="180" t="str">
        <f>RIGHT(M31,5)</f>
        <v>07:17</v>
      </c>
      <c r="O31" s="173" t="str">
        <f>K31</f>
        <v>№466</v>
      </c>
      <c r="P31" s="181">
        <f>(M31-I31)*24</f>
        <v>2.0833333333139308</v>
      </c>
      <c r="Q31" s="181">
        <f>P31*2</f>
        <v>4.1666666666278616</v>
      </c>
      <c r="S31" s="28"/>
      <c r="T31" s="174" t="s">
        <v>83</v>
      </c>
      <c r="U31" s="175">
        <f>(I31-T31)*24</f>
        <v>9.9833333333954215</v>
      </c>
      <c r="V31" s="175">
        <f>IF(U31&lt;=1,0,U31-U31)</f>
        <v>0</v>
      </c>
    </row>
    <row r="32" spans="1:25" s="16" customFormat="1" ht="15.75" customHeight="1">
      <c r="A32" s="226">
        <v>2</v>
      </c>
      <c r="B32" s="186" t="s">
        <v>9</v>
      </c>
      <c r="C32" s="182" t="s">
        <v>58</v>
      </c>
      <c r="D32" s="183">
        <v>2</v>
      </c>
      <c r="E32" s="280"/>
      <c r="F32" s="280"/>
      <c r="G32" s="281"/>
      <c r="H32" s="280"/>
      <c r="I32" s="174" t="s">
        <v>165</v>
      </c>
      <c r="J32" s="178" t="str">
        <f>RIGHT(I32,5)</f>
        <v>02:04</v>
      </c>
      <c r="K32" s="183" t="s">
        <v>185</v>
      </c>
      <c r="L32" s="179" t="s">
        <v>54</v>
      </c>
      <c r="M32" s="174" t="s">
        <v>166</v>
      </c>
      <c r="N32" s="180" t="str">
        <f>RIGHT(M32,5)</f>
        <v>04:23</v>
      </c>
      <c r="O32" s="173" t="str">
        <f>K32</f>
        <v>№628</v>
      </c>
      <c r="P32" s="181">
        <f>(M32-I32)*24</f>
        <v>2.3166666667093523</v>
      </c>
      <c r="Q32" s="181">
        <f>P32*2</f>
        <v>4.6333333334187046</v>
      </c>
      <c r="S32" s="28"/>
      <c r="T32" s="174" t="s">
        <v>164</v>
      </c>
      <c r="U32" s="175">
        <f>(I32-T32)*24</f>
        <v>3.3333333267364651E-2</v>
      </c>
      <c r="V32" s="175">
        <f>IF(U32&lt;=1,0,U32-U32)</f>
        <v>0</v>
      </c>
    </row>
    <row r="33" spans="1:23" s="16" customFormat="1" ht="17.5" customHeight="1" thickBot="1">
      <c r="A33" s="165" t="s">
        <v>38</v>
      </c>
      <c r="B33" s="166"/>
      <c r="C33" s="167"/>
      <c r="D33" s="168"/>
      <c r="E33" s="68"/>
      <c r="F33" s="68"/>
      <c r="G33" s="15"/>
      <c r="H33" s="253"/>
      <c r="I33" s="13"/>
      <c r="J33" s="14"/>
      <c r="K33" s="168"/>
      <c r="L33" s="236"/>
      <c r="M33" s="168"/>
      <c r="N33" s="168"/>
      <c r="O33" s="168"/>
      <c r="P33" s="68"/>
      <c r="Q33" s="15"/>
      <c r="S33" s="20"/>
      <c r="T33" s="188"/>
      <c r="U33" s="189"/>
      <c r="V33" s="189"/>
    </row>
    <row r="34" spans="1:23" s="16" customFormat="1" ht="17.25" customHeight="1" thickBot="1">
      <c r="A34" s="165" t="s">
        <v>39</v>
      </c>
      <c r="B34" s="166"/>
      <c r="C34" s="167"/>
      <c r="D34" s="168"/>
      <c r="E34" s="171">
        <f>Пробеги!E28+Пробеги!E29</f>
        <v>39044</v>
      </c>
      <c r="F34" s="171">
        <f>E34</f>
        <v>39044</v>
      </c>
      <c r="G34" s="187">
        <v>0</v>
      </c>
      <c r="H34" s="171">
        <f>F34</f>
        <v>39044</v>
      </c>
      <c r="I34" s="13"/>
      <c r="J34" s="14"/>
      <c r="K34" s="68"/>
      <c r="L34" s="81"/>
      <c r="M34" s="68"/>
      <c r="N34" s="68"/>
      <c r="O34" s="68"/>
      <c r="P34" s="175"/>
      <c r="Q34" s="175"/>
      <c r="T34" s="176"/>
      <c r="U34" s="177">
        <f>SUM(U31:U33)*2</f>
        <v>20.033333333325572</v>
      </c>
      <c r="V34" s="177">
        <f>SUM(V31:V33)*2</f>
        <v>0</v>
      </c>
    </row>
    <row r="35" spans="1:23" s="16" customFormat="1" ht="15.75" customHeight="1">
      <c r="A35" s="278">
        <v>1</v>
      </c>
      <c r="B35" s="179" t="s">
        <v>9</v>
      </c>
      <c r="C35" s="182" t="s">
        <v>59</v>
      </c>
      <c r="D35" s="173">
        <v>2</v>
      </c>
      <c r="E35" s="260"/>
      <c r="F35" s="260"/>
      <c r="G35" s="260"/>
      <c r="H35" s="260"/>
      <c r="I35" s="174" t="s">
        <v>154</v>
      </c>
      <c r="J35" s="178" t="str">
        <f>RIGHT(I35,5)</f>
        <v>16:44</v>
      </c>
      <c r="K35" s="183" t="s">
        <v>180</v>
      </c>
      <c r="L35" s="179" t="s">
        <v>54</v>
      </c>
      <c r="M35" s="174" t="s">
        <v>156</v>
      </c>
      <c r="N35" s="180" t="str">
        <f>RIGHT(M35,5)</f>
        <v>19:13</v>
      </c>
      <c r="O35" s="173" t="str">
        <f>K35</f>
        <v>№583</v>
      </c>
      <c r="P35" s="181">
        <f>(M35-I35)*24</f>
        <v>2.4833333332207985</v>
      </c>
      <c r="Q35" s="181">
        <f>P35*2</f>
        <v>4.966666666441597</v>
      </c>
      <c r="S35" s="28"/>
      <c r="T35" s="174" t="s">
        <v>153</v>
      </c>
      <c r="U35" s="175">
        <f>(I35-T35)*24</f>
        <v>7.1833333333488554</v>
      </c>
      <c r="V35" s="175">
        <f>IF(U35&lt;=1,0,U35-U35)</f>
        <v>0</v>
      </c>
    </row>
    <row r="36" spans="1:23" s="16" customFormat="1" ht="15.75" customHeight="1">
      <c r="A36" s="231">
        <v>2</v>
      </c>
      <c r="B36" s="179" t="s">
        <v>9</v>
      </c>
      <c r="C36" s="182" t="s">
        <v>59</v>
      </c>
      <c r="D36" s="173">
        <v>2</v>
      </c>
      <c r="E36" s="234"/>
      <c r="F36" s="234"/>
      <c r="G36" s="234"/>
      <c r="H36" s="234"/>
      <c r="I36" s="174" t="s">
        <v>155</v>
      </c>
      <c r="J36" s="178" t="str">
        <f>RIGHT(I36,5)</f>
        <v>19:14</v>
      </c>
      <c r="K36" s="183" t="s">
        <v>181</v>
      </c>
      <c r="L36" s="179" t="s">
        <v>74</v>
      </c>
      <c r="M36" s="174" t="s">
        <v>167</v>
      </c>
      <c r="N36" s="180" t="str">
        <f>RIGHT(M36,5)</f>
        <v>19:25</v>
      </c>
      <c r="O36" s="173" t="str">
        <f>K36</f>
        <v>№246</v>
      </c>
      <c r="P36" s="181">
        <f>(M36-I36)*24</f>
        <v>120.18333333340706</v>
      </c>
      <c r="Q36" s="181">
        <f>P36*2</f>
        <v>240.36666666681413</v>
      </c>
      <c r="S36" s="28"/>
      <c r="T36" s="174" t="s">
        <v>155</v>
      </c>
      <c r="U36" s="175">
        <f>(I36-T36)*24</f>
        <v>0</v>
      </c>
      <c r="V36" s="175">
        <v>0</v>
      </c>
    </row>
    <row r="37" spans="1:23" s="16" customFormat="1" ht="17.5" customHeight="1" thickBot="1">
      <c r="A37" s="165" t="s">
        <v>38</v>
      </c>
      <c r="B37" s="166"/>
      <c r="C37" s="167"/>
      <c r="D37" s="168"/>
      <c r="E37" s="168"/>
      <c r="F37" s="168"/>
      <c r="G37" s="175"/>
      <c r="H37" s="170"/>
      <c r="I37" s="13"/>
      <c r="J37" s="14"/>
      <c r="K37" s="68"/>
      <c r="L37" s="81"/>
      <c r="M37" s="68"/>
      <c r="N37" s="68"/>
      <c r="O37" s="68"/>
      <c r="P37" s="68"/>
      <c r="Q37" s="15"/>
      <c r="S37" s="20"/>
      <c r="T37" s="188"/>
      <c r="U37" s="189"/>
      <c r="V37" s="189"/>
    </row>
    <row r="38" spans="1:23" s="16" customFormat="1" ht="18.75" customHeight="1" thickBot="1">
      <c r="A38" s="165" t="s">
        <v>39</v>
      </c>
      <c r="B38" s="166"/>
      <c r="C38" s="167"/>
      <c r="D38" s="168"/>
      <c r="E38" s="171">
        <f>Пробеги!E30+Пробеги!E31</f>
        <v>31592</v>
      </c>
      <c r="F38" s="171">
        <f>E38</f>
        <v>31592</v>
      </c>
      <c r="G38" s="190">
        <v>0</v>
      </c>
      <c r="H38" s="171">
        <f>F38</f>
        <v>31592</v>
      </c>
      <c r="I38" s="13"/>
      <c r="J38" s="14"/>
      <c r="K38" s="68"/>
      <c r="L38" s="81"/>
      <c r="M38" s="68"/>
      <c r="N38" s="68"/>
      <c r="O38" s="68"/>
      <c r="P38" s="68"/>
      <c r="Q38" s="15"/>
      <c r="T38" s="176"/>
      <c r="U38" s="191">
        <f>SUM(U35:U37)*2</f>
        <v>14.366666666697711</v>
      </c>
      <c r="V38" s="191">
        <f>SUM(V35:V37)*2</f>
        <v>0</v>
      </c>
    </row>
    <row r="39" spans="1:23" s="16" customFormat="1" ht="15.75" customHeight="1">
      <c r="A39" s="278">
        <v>1</v>
      </c>
      <c r="B39" s="179" t="s">
        <v>9</v>
      </c>
      <c r="C39" s="182" t="s">
        <v>60</v>
      </c>
      <c r="D39" s="173">
        <v>2</v>
      </c>
      <c r="E39" s="279"/>
      <c r="F39" s="279"/>
      <c r="G39" s="278"/>
      <c r="H39" s="258"/>
      <c r="I39" s="174" t="s">
        <v>146</v>
      </c>
      <c r="J39" s="178" t="str">
        <f>RIGHT(I39,5)</f>
        <v>00:30</v>
      </c>
      <c r="K39" s="183" t="s">
        <v>157</v>
      </c>
      <c r="L39" s="179" t="s">
        <v>54</v>
      </c>
      <c r="M39" s="174" t="s">
        <v>147</v>
      </c>
      <c r="N39" s="180" t="str">
        <f>RIGHT(M39,5)</f>
        <v>02:41</v>
      </c>
      <c r="O39" s="173" t="str">
        <f>K39</f>
        <v>№580</v>
      </c>
      <c r="P39" s="181">
        <f>(M39-I39)*24</f>
        <v>2.1833333332906477</v>
      </c>
      <c r="Q39" s="181">
        <f>P39*2</f>
        <v>4.3666666665812954</v>
      </c>
      <c r="S39" s="28"/>
      <c r="T39" s="174" t="s">
        <v>145</v>
      </c>
      <c r="U39" s="175">
        <f>(I39-T39)*24</f>
        <v>3.9833333333954215</v>
      </c>
      <c r="V39" s="175">
        <f>IF(U39&lt;=1,0,U39-U39)</f>
        <v>0</v>
      </c>
      <c r="W39" s="82"/>
    </row>
    <row r="40" spans="1:23" s="16" customFormat="1" ht="15.75" customHeight="1">
      <c r="A40" s="231">
        <v>2</v>
      </c>
      <c r="B40" s="179" t="s">
        <v>9</v>
      </c>
      <c r="C40" s="182" t="s">
        <v>60</v>
      </c>
      <c r="D40" s="173">
        <v>2</v>
      </c>
      <c r="E40" s="230"/>
      <c r="F40" s="230"/>
      <c r="G40" s="231"/>
      <c r="H40" s="228"/>
      <c r="I40" s="174" t="s">
        <v>211</v>
      </c>
      <c r="J40" s="178" t="str">
        <f>RIGHT(I40,5)</f>
        <v>15:11</v>
      </c>
      <c r="K40" s="183" t="s">
        <v>216</v>
      </c>
      <c r="L40" s="179" t="s">
        <v>98</v>
      </c>
      <c r="M40" s="174" t="s">
        <v>212</v>
      </c>
      <c r="N40" s="180" t="str">
        <f>RIGHT(M40,5)</f>
        <v>22:11</v>
      </c>
      <c r="O40" s="173" t="str">
        <f>K40</f>
        <v>№8</v>
      </c>
      <c r="P40" s="181">
        <f>(M40-I40)*24</f>
        <v>6.9999999999417923</v>
      </c>
      <c r="Q40" s="181">
        <f>P40*2</f>
        <v>13.999999999883585</v>
      </c>
      <c r="S40" s="28"/>
      <c r="T40" s="174" t="s">
        <v>210</v>
      </c>
      <c r="U40" s="175">
        <f>(I40-T40)*24</f>
        <v>20.750000000058208</v>
      </c>
      <c r="V40" s="175">
        <f>IF(U40&lt;=1,0,U40-U40)</f>
        <v>0</v>
      </c>
      <c r="W40" s="82"/>
    </row>
    <row r="41" spans="1:23" s="16" customFormat="1" ht="17.25" customHeight="1" thickBot="1">
      <c r="A41" s="165" t="s">
        <v>38</v>
      </c>
      <c r="B41" s="166"/>
      <c r="C41" s="167"/>
      <c r="D41" s="168"/>
      <c r="E41" s="168"/>
      <c r="F41" s="168"/>
      <c r="G41" s="175"/>
      <c r="H41" s="170"/>
      <c r="I41" s="13"/>
      <c r="J41" s="14"/>
      <c r="K41" s="55"/>
      <c r="L41" s="81"/>
      <c r="M41" s="68"/>
      <c r="N41" s="68"/>
      <c r="O41" s="68"/>
      <c r="P41" s="68"/>
      <c r="Q41" s="15"/>
      <c r="S41" s="20"/>
      <c r="T41" s="188"/>
      <c r="U41" s="189"/>
      <c r="V41" s="189"/>
      <c r="W41" s="23"/>
    </row>
    <row r="42" spans="1:23" s="16" customFormat="1" ht="17.25" customHeight="1" thickBot="1">
      <c r="A42" s="165" t="s">
        <v>39</v>
      </c>
      <c r="B42" s="166"/>
      <c r="C42" s="167"/>
      <c r="D42" s="168"/>
      <c r="E42" s="171">
        <f>Пробеги!E32+Пробеги!E33</f>
        <v>37894</v>
      </c>
      <c r="F42" s="171">
        <f>E42</f>
        <v>37894</v>
      </c>
      <c r="G42" s="190">
        <v>0</v>
      </c>
      <c r="H42" s="171">
        <f>F42</f>
        <v>37894</v>
      </c>
      <c r="I42" s="13"/>
      <c r="J42" s="14"/>
      <c r="K42" s="68"/>
      <c r="L42" s="81"/>
      <c r="M42" s="68"/>
      <c r="N42" s="68"/>
      <c r="O42" s="68"/>
      <c r="P42" s="68"/>
      <c r="Q42" s="15"/>
      <c r="T42" s="176"/>
      <c r="U42" s="177">
        <f>SUM(U39:U41)*2</f>
        <v>49.466666666907258</v>
      </c>
      <c r="V42" s="177">
        <f>SUM(V39:V41)*2</f>
        <v>0</v>
      </c>
      <c r="W42" s="23"/>
    </row>
    <row r="43" spans="1:23" s="16" customFormat="1" ht="17.5" customHeight="1">
      <c r="A43" s="209">
        <v>1</v>
      </c>
      <c r="B43" s="210" t="s">
        <v>9</v>
      </c>
      <c r="C43" s="210" t="s">
        <v>62</v>
      </c>
      <c r="D43" s="209">
        <v>2</v>
      </c>
      <c r="E43" s="211"/>
      <c r="F43" s="211"/>
      <c r="G43" s="209"/>
      <c r="H43" s="211"/>
      <c r="I43" s="174" t="s">
        <v>84</v>
      </c>
      <c r="J43" s="178" t="str">
        <f>RIGHT(I43,5)</f>
        <v>11:26</v>
      </c>
      <c r="K43" s="183" t="s">
        <v>95</v>
      </c>
      <c r="L43" s="179" t="s">
        <v>54</v>
      </c>
      <c r="M43" s="174" t="s">
        <v>88</v>
      </c>
      <c r="N43" s="180" t="str">
        <f>RIGHT(M43,5)</f>
        <v>13:28</v>
      </c>
      <c r="O43" s="173" t="str">
        <f>K43</f>
        <v>№468</v>
      </c>
      <c r="P43" s="181">
        <f>(M43-I43)*24</f>
        <v>2.0333333333255723</v>
      </c>
      <c r="Q43" s="181">
        <f>P43*2</f>
        <v>4.0666666666511446</v>
      </c>
      <c r="S43" s="28"/>
      <c r="T43" s="174" t="s">
        <v>85</v>
      </c>
      <c r="U43" s="175">
        <f>(I43-T43)*24</f>
        <v>3.7000000000116415</v>
      </c>
      <c r="V43" s="175">
        <f>IF(U43&lt;=1,0,U43-U43)</f>
        <v>0</v>
      </c>
      <c r="W43" s="51"/>
    </row>
    <row r="44" spans="1:23" s="16" customFormat="1" ht="17.5" customHeight="1">
      <c r="A44" s="209">
        <v>2</v>
      </c>
      <c r="B44" s="210" t="s">
        <v>9</v>
      </c>
      <c r="C44" s="210" t="s">
        <v>62</v>
      </c>
      <c r="D44" s="209">
        <v>2</v>
      </c>
      <c r="E44" s="211"/>
      <c r="F44" s="211"/>
      <c r="G44" s="209"/>
      <c r="H44" s="211"/>
      <c r="I44" s="174" t="s">
        <v>169</v>
      </c>
      <c r="J44" s="178" t="str">
        <f>RIGHT(I44,5)</f>
        <v>21:04</v>
      </c>
      <c r="K44" s="183" t="s">
        <v>186</v>
      </c>
      <c r="L44" s="179" t="s">
        <v>54</v>
      </c>
      <c r="M44" s="174" t="s">
        <v>170</v>
      </c>
      <c r="N44" s="180" t="str">
        <f>RIGHT(M44,5)</f>
        <v>23:34</v>
      </c>
      <c r="O44" s="173" t="str">
        <f>K44</f>
        <v>№609</v>
      </c>
      <c r="P44" s="181">
        <f>(M44-I44)*24</f>
        <v>2.4999999999417923</v>
      </c>
      <c r="Q44" s="181">
        <f>P44*2</f>
        <v>4.9999999998835847</v>
      </c>
      <c r="S44" s="28"/>
      <c r="T44" s="174" t="s">
        <v>168</v>
      </c>
      <c r="U44" s="175">
        <f>(I44-T44)*24</f>
        <v>2.8666666667559184</v>
      </c>
      <c r="V44" s="175">
        <f>IF(U44&lt;=1,0,U44-U44)</f>
        <v>0</v>
      </c>
      <c r="W44" s="51"/>
    </row>
    <row r="45" spans="1:23" s="16" customFormat="1" ht="17.5" customHeight="1">
      <c r="A45" s="209">
        <v>3</v>
      </c>
      <c r="B45" s="210" t="s">
        <v>9</v>
      </c>
      <c r="C45" s="210" t="s">
        <v>62</v>
      </c>
      <c r="D45" s="209">
        <v>2</v>
      </c>
      <c r="E45" s="211"/>
      <c r="F45" s="211"/>
      <c r="G45" s="209"/>
      <c r="H45" s="211"/>
      <c r="I45" s="174" t="s">
        <v>170</v>
      </c>
      <c r="J45" s="178" t="str">
        <f>RIGHT(I45,5)</f>
        <v>23:34</v>
      </c>
      <c r="K45" s="183" t="s">
        <v>182</v>
      </c>
      <c r="L45" s="179" t="s">
        <v>74</v>
      </c>
      <c r="M45" s="174" t="s">
        <v>207</v>
      </c>
      <c r="N45" s="180" t="str">
        <f>RIGHT(M45,5)</f>
        <v>12:58</v>
      </c>
      <c r="O45" s="173" t="str">
        <f>K45</f>
        <v>№255</v>
      </c>
      <c r="P45" s="181">
        <f>(M45-I45)*24</f>
        <v>109.40000000002328</v>
      </c>
      <c r="Q45" s="181">
        <f>P45*2</f>
        <v>218.80000000004657</v>
      </c>
      <c r="S45" s="28"/>
      <c r="T45" s="174" t="s">
        <v>170</v>
      </c>
      <c r="U45" s="175">
        <f>(I45-T45)*24</f>
        <v>0</v>
      </c>
      <c r="V45" s="175">
        <v>0</v>
      </c>
      <c r="W45" s="51"/>
    </row>
    <row r="46" spans="1:23" s="16" customFormat="1" ht="17.5" customHeight="1" thickBot="1">
      <c r="A46" s="212" t="s">
        <v>38</v>
      </c>
      <c r="B46" s="213"/>
      <c r="C46" s="214"/>
      <c r="D46" s="214"/>
      <c r="E46" s="214"/>
      <c r="F46" s="214"/>
      <c r="G46" s="215"/>
      <c r="H46" s="216"/>
      <c r="I46" s="174"/>
      <c r="J46" s="178"/>
      <c r="K46" s="183"/>
      <c r="L46" s="179"/>
      <c r="M46" s="174"/>
      <c r="N46" s="180"/>
      <c r="O46" s="173"/>
      <c r="P46" s="60"/>
      <c r="Q46" s="60"/>
      <c r="S46" s="28"/>
      <c r="T46" s="174"/>
      <c r="U46" s="175"/>
      <c r="V46" s="175"/>
    </row>
    <row r="47" spans="1:23" s="16" customFormat="1" ht="17.5" customHeight="1" thickBot="1">
      <c r="A47" s="217" t="s">
        <v>39</v>
      </c>
      <c r="B47" s="218"/>
      <c r="C47" s="219"/>
      <c r="D47" s="219"/>
      <c r="E47" s="220">
        <f>Пробеги!E34+Пробеги!E35</f>
        <v>35170</v>
      </c>
      <c r="F47" s="171">
        <f>E47</f>
        <v>35170</v>
      </c>
      <c r="G47" s="221">
        <v>0</v>
      </c>
      <c r="H47" s="171">
        <f>F47</f>
        <v>35170</v>
      </c>
      <c r="I47" s="90"/>
      <c r="J47" s="91"/>
      <c r="K47" s="89"/>
      <c r="L47" s="92"/>
      <c r="M47" s="89"/>
      <c r="N47" s="89"/>
      <c r="O47" s="89"/>
      <c r="P47" s="89"/>
      <c r="Q47" s="222"/>
      <c r="R47" s="116"/>
      <c r="S47" s="116"/>
      <c r="T47" s="223"/>
      <c r="U47" s="224">
        <f>SUM(U43:U46)*2</f>
        <v>13.13333333353512</v>
      </c>
      <c r="V47" s="225">
        <f>SUM(V43:V46)*2</f>
        <v>0</v>
      </c>
    </row>
    <row r="48" spans="1:23" s="16" customFormat="1" ht="17.5" customHeight="1">
      <c r="A48" s="93"/>
      <c r="B48" s="94"/>
      <c r="C48" s="95"/>
      <c r="D48" s="95"/>
      <c r="E48" s="96"/>
      <c r="F48" s="96"/>
      <c r="G48" s="97"/>
      <c r="H48" s="98"/>
      <c r="I48" s="88"/>
      <c r="J48" s="99"/>
      <c r="K48" s="95"/>
      <c r="L48" s="100"/>
      <c r="M48" s="95"/>
      <c r="N48" s="95"/>
      <c r="O48" s="95"/>
      <c r="P48" s="95"/>
      <c r="Q48" s="67"/>
      <c r="T48" s="88"/>
      <c r="U48" s="67"/>
      <c r="V48" s="250"/>
    </row>
    <row r="49" spans="1:25" s="16" customFormat="1" ht="17.5" customHeight="1">
      <c r="A49" s="93"/>
      <c r="B49" s="94"/>
      <c r="C49" s="95"/>
      <c r="D49" s="95"/>
      <c r="E49" s="96"/>
      <c r="F49" s="96"/>
      <c r="G49" s="97"/>
      <c r="H49" s="98"/>
      <c r="I49" s="88"/>
      <c r="J49" s="99"/>
      <c r="K49" s="95"/>
      <c r="L49" s="100"/>
      <c r="M49" s="95"/>
      <c r="N49" s="95"/>
      <c r="O49" s="300" t="s">
        <v>72</v>
      </c>
      <c r="P49" s="300"/>
      <c r="Q49" s="67"/>
      <c r="T49" s="88"/>
      <c r="U49" s="67"/>
      <c r="V49" s="250"/>
    </row>
    <row r="50" spans="1:25" s="16" customFormat="1" ht="17.25" customHeight="1">
      <c r="A50" s="227">
        <v>1</v>
      </c>
      <c r="B50" s="229" t="s">
        <v>9</v>
      </c>
      <c r="C50" s="182" t="s">
        <v>63</v>
      </c>
      <c r="D50" s="167">
        <v>2</v>
      </c>
      <c r="E50" s="230"/>
      <c r="F50" s="230"/>
      <c r="G50" s="231"/>
      <c r="H50" s="228"/>
      <c r="I50" s="174" t="s">
        <v>90</v>
      </c>
      <c r="J50" s="178" t="str">
        <f t="shared" ref="J50" si="0">RIGHT(I50,5)</f>
        <v>09:41</v>
      </c>
      <c r="K50" s="183" t="s">
        <v>96</v>
      </c>
      <c r="L50" s="179" t="s">
        <v>89</v>
      </c>
      <c r="M50" s="174" t="s">
        <v>115</v>
      </c>
      <c r="N50" s="180" t="str">
        <f t="shared" ref="N50" si="1">RIGHT(M50,5)</f>
        <v>15:31</v>
      </c>
      <c r="O50" s="173" t="str">
        <f t="shared" ref="O50" si="2">K50</f>
        <v>№25</v>
      </c>
      <c r="P50" s="181">
        <f t="shared" ref="P50" si="3">(M50-I50)*24</f>
        <v>53.833333333313931</v>
      </c>
      <c r="Q50" s="181">
        <f t="shared" ref="Q50" si="4">P50*2</f>
        <v>107.66666666662786</v>
      </c>
      <c r="S50" s="28"/>
      <c r="T50" s="174" t="s">
        <v>86</v>
      </c>
      <c r="U50" s="175">
        <f t="shared" ref="U50" si="5">(I50-T50)*24</f>
        <v>41.016666666604578</v>
      </c>
      <c r="V50" s="175">
        <f t="shared" ref="V50" si="6">IF(U50&lt;=1,0,U50-U50)</f>
        <v>0</v>
      </c>
      <c r="W50" s="52"/>
    </row>
    <row r="51" spans="1:25" s="16" customFormat="1" ht="17.25" customHeight="1" thickBot="1">
      <c r="A51" s="227">
        <v>2</v>
      </c>
      <c r="B51" s="229" t="s">
        <v>9</v>
      </c>
      <c r="C51" s="182" t="s">
        <v>63</v>
      </c>
      <c r="D51" s="167">
        <v>2</v>
      </c>
      <c r="E51" s="230"/>
      <c r="F51" s="230"/>
      <c r="G51" s="231"/>
      <c r="H51" s="228"/>
      <c r="I51" s="174" t="s">
        <v>172</v>
      </c>
      <c r="J51" s="178" t="str">
        <f>RIGHT(I51,5)</f>
        <v>12:48</v>
      </c>
      <c r="K51" s="183" t="s">
        <v>187</v>
      </c>
      <c r="L51" s="179" t="s">
        <v>54</v>
      </c>
      <c r="M51" s="174" t="s">
        <v>173</v>
      </c>
      <c r="N51" s="180" t="str">
        <f>RIGHT(M51,5)</f>
        <v>14:49</v>
      </c>
      <c r="O51" s="173" t="str">
        <f>K51</f>
        <v>№621</v>
      </c>
      <c r="P51" s="181">
        <f>(M51-I51)*24</f>
        <v>2.0166666666045785</v>
      </c>
      <c r="Q51" s="181">
        <f>P51*2</f>
        <v>4.033333333209157</v>
      </c>
      <c r="S51" s="28"/>
      <c r="T51" s="174" t="s">
        <v>171</v>
      </c>
      <c r="U51" s="175">
        <f>(I51-T51)*24</f>
        <v>2.8500000000349246</v>
      </c>
      <c r="V51" s="175">
        <f>IF(U51&lt;=1,0,U51-U51)</f>
        <v>0</v>
      </c>
      <c r="W51" s="52"/>
    </row>
    <row r="52" spans="1:25" s="16" customFormat="1" ht="17.5" customHeight="1" thickBot="1">
      <c r="A52" s="165" t="s">
        <v>38</v>
      </c>
      <c r="B52" s="166"/>
      <c r="C52" s="173"/>
      <c r="D52" s="168"/>
      <c r="E52" s="168"/>
      <c r="F52" s="168"/>
      <c r="G52" s="175"/>
      <c r="H52" s="170"/>
      <c r="I52" s="13"/>
      <c r="J52" s="14"/>
      <c r="K52" s="83"/>
      <c r="L52" s="81"/>
      <c r="M52" s="68"/>
      <c r="N52" s="68"/>
      <c r="O52" s="68"/>
      <c r="P52" s="68"/>
      <c r="Q52" s="15"/>
      <c r="S52" s="20"/>
      <c r="T52" s="177"/>
      <c r="U52" s="177">
        <f>SUM(U50:U51)*2</f>
        <v>87.733333333279006</v>
      </c>
      <c r="V52" s="177">
        <f>SUM(V50:V51)*2</f>
        <v>0</v>
      </c>
    </row>
    <row r="53" spans="1:25" s="16" customFormat="1" ht="17.25" customHeight="1">
      <c r="A53" s="165" t="s">
        <v>39</v>
      </c>
      <c r="B53" s="166"/>
      <c r="C53" s="173"/>
      <c r="D53" s="168"/>
      <c r="E53" s="171">
        <f>Пробеги!E36+Пробеги!E37</f>
        <v>36402</v>
      </c>
      <c r="F53" s="171">
        <f>E53</f>
        <v>36402</v>
      </c>
      <c r="G53" s="187">
        <v>0</v>
      </c>
      <c r="H53" s="171">
        <f>F53</f>
        <v>36402</v>
      </c>
      <c r="I53" s="13"/>
      <c r="J53" s="14"/>
      <c r="K53" s="68"/>
      <c r="L53" s="81"/>
      <c r="M53" s="68"/>
      <c r="N53" s="68"/>
      <c r="O53" s="68"/>
      <c r="P53" s="68"/>
      <c r="Q53" s="15"/>
      <c r="T53" s="251"/>
      <c r="U53" s="251"/>
      <c r="V53" s="251"/>
    </row>
    <row r="54" spans="1:25" s="16" customFormat="1" ht="17.5" customHeight="1">
      <c r="A54" s="226">
        <v>1</v>
      </c>
      <c r="B54" s="179" t="s">
        <v>9</v>
      </c>
      <c r="C54" s="182" t="s">
        <v>64</v>
      </c>
      <c r="D54" s="173">
        <v>2</v>
      </c>
      <c r="E54" s="230"/>
      <c r="F54" s="230"/>
      <c r="G54" s="255"/>
      <c r="H54" s="228"/>
      <c r="I54" s="174" t="s">
        <v>175</v>
      </c>
      <c r="J54" s="178" t="str">
        <f>RIGHT(I54,5)</f>
        <v>01:08</v>
      </c>
      <c r="K54" s="183" t="s">
        <v>188</v>
      </c>
      <c r="L54" s="179" t="s">
        <v>54</v>
      </c>
      <c r="M54" s="174" t="s">
        <v>177</v>
      </c>
      <c r="N54" s="180" t="str">
        <f>RIGHT(M54,5)</f>
        <v>03:37</v>
      </c>
      <c r="O54" s="173" t="str">
        <f>K54</f>
        <v>№603</v>
      </c>
      <c r="P54" s="181">
        <f>(M54-I54)*24</f>
        <v>2.4833333332207985</v>
      </c>
      <c r="Q54" s="181">
        <f>P54*2</f>
        <v>4.966666666441597</v>
      </c>
      <c r="S54" s="28"/>
      <c r="T54" s="174" t="s">
        <v>174</v>
      </c>
      <c r="U54" s="175">
        <f>(I54-T54)*24</f>
        <v>4.5166666667209938</v>
      </c>
      <c r="V54" s="175">
        <f>IF(U54&lt;=1,0,U54-U54)</f>
        <v>0</v>
      </c>
    </row>
    <row r="55" spans="1:25" s="16" customFormat="1" ht="17.5" customHeight="1" thickBot="1">
      <c r="A55" s="226">
        <v>2</v>
      </c>
      <c r="B55" s="179" t="s">
        <v>9</v>
      </c>
      <c r="C55" s="182" t="s">
        <v>64</v>
      </c>
      <c r="D55" s="173">
        <v>2</v>
      </c>
      <c r="E55" s="230"/>
      <c r="F55" s="230"/>
      <c r="G55" s="255"/>
      <c r="H55" s="228"/>
      <c r="I55" s="174" t="s">
        <v>176</v>
      </c>
      <c r="J55" s="178" t="str">
        <f>RIGHT(I55,5)</f>
        <v>03:38</v>
      </c>
      <c r="K55" s="183" t="s">
        <v>183</v>
      </c>
      <c r="L55" s="179" t="s">
        <v>74</v>
      </c>
      <c r="M55" s="174" t="s">
        <v>178</v>
      </c>
      <c r="N55" s="180" t="str">
        <f>RIGHT(M55,5)</f>
        <v>05:04</v>
      </c>
      <c r="O55" s="173" t="str">
        <f>K55</f>
        <v>№252</v>
      </c>
      <c r="P55" s="181">
        <f>(M55-I55)*24</f>
        <v>1.4333333332906477</v>
      </c>
      <c r="Q55" s="290">
        <f>P55*2</f>
        <v>2.8666666665812954</v>
      </c>
      <c r="S55" s="28"/>
      <c r="T55" s="174" t="s">
        <v>176</v>
      </c>
      <c r="U55" s="175">
        <f>(I55-T55)*24</f>
        <v>0</v>
      </c>
      <c r="V55" s="175">
        <f>U55</f>
        <v>0</v>
      </c>
    </row>
    <row r="56" spans="1:25" s="16" customFormat="1" ht="17.5" customHeight="1" thickBot="1">
      <c r="A56" s="165" t="s">
        <v>38</v>
      </c>
      <c r="B56" s="179"/>
      <c r="C56" s="206"/>
      <c r="D56" s="173"/>
      <c r="E56" s="172"/>
      <c r="F56" s="172"/>
      <c r="G56" s="190"/>
      <c r="H56" s="171"/>
      <c r="I56" s="79"/>
      <c r="J56" s="84"/>
      <c r="K56" s="121"/>
      <c r="L56" s="122"/>
      <c r="M56" s="85"/>
      <c r="N56" s="85"/>
      <c r="O56" s="85"/>
      <c r="P56" s="85"/>
      <c r="Q56" s="80"/>
      <c r="T56" s="233"/>
      <c r="U56" s="224">
        <f>SUM(U54:U55)*2</f>
        <v>9.0333333334419876</v>
      </c>
      <c r="V56" s="225">
        <f>SUM(V54:V55)*2</f>
        <v>0</v>
      </c>
    </row>
    <row r="57" spans="1:25" s="16" customFormat="1" ht="17.25" customHeight="1">
      <c r="A57" s="165" t="s">
        <v>39</v>
      </c>
      <c r="B57" s="179"/>
      <c r="C57" s="206"/>
      <c r="D57" s="173"/>
      <c r="E57" s="171">
        <f>Пробеги!E38+Пробеги!E39</f>
        <v>41942</v>
      </c>
      <c r="F57" s="172">
        <f>E57</f>
        <v>41942</v>
      </c>
      <c r="G57" s="190">
        <v>0</v>
      </c>
      <c r="H57" s="171">
        <f>F57</f>
        <v>41942</v>
      </c>
      <c r="I57" s="13"/>
      <c r="J57" s="14"/>
      <c r="K57" s="68"/>
      <c r="L57" s="81"/>
      <c r="M57" s="68"/>
      <c r="N57" s="68"/>
      <c r="O57" s="68"/>
      <c r="P57" s="68"/>
      <c r="Q57" s="15"/>
      <c r="T57" s="80"/>
      <c r="U57" s="80"/>
      <c r="V57" s="207"/>
      <c r="W57" s="23"/>
    </row>
    <row r="58" spans="1:25" s="16" customFormat="1" ht="17.25" customHeight="1">
      <c r="A58" s="261">
        <v>1</v>
      </c>
      <c r="B58" s="179" t="s">
        <v>9</v>
      </c>
      <c r="C58" s="256" t="s">
        <v>65</v>
      </c>
      <c r="D58" s="173">
        <v>2</v>
      </c>
      <c r="E58" s="262"/>
      <c r="F58" s="262"/>
      <c r="G58" s="263"/>
      <c r="H58" s="262"/>
      <c r="I58" s="174" t="s">
        <v>109</v>
      </c>
      <c r="J58" s="178" t="str">
        <f t="shared" ref="J58" si="7">RIGHT(I58,5)</f>
        <v>13:14</v>
      </c>
      <c r="K58" s="183" t="s">
        <v>116</v>
      </c>
      <c r="L58" s="179" t="s">
        <v>54</v>
      </c>
      <c r="M58" s="174" t="s">
        <v>110</v>
      </c>
      <c r="N58" s="180" t="str">
        <f t="shared" ref="N58" si="8">RIGHT(M58,5)</f>
        <v>15:18</v>
      </c>
      <c r="O58" s="173" t="str">
        <f t="shared" ref="O58" si="9">K58</f>
        <v>№508</v>
      </c>
      <c r="P58" s="181">
        <f t="shared" ref="P58" si="10">(M58-I58)*24</f>
        <v>2.066666666592937</v>
      </c>
      <c r="Q58" s="181">
        <f t="shared" ref="Q58" si="11">P58*2</f>
        <v>4.1333333331858739</v>
      </c>
      <c r="S58" s="28"/>
      <c r="T58" s="174" t="s">
        <v>108</v>
      </c>
      <c r="U58" s="175">
        <f t="shared" ref="U58" si="12">(I58-T58)*24</f>
        <v>4.0999999999185093</v>
      </c>
      <c r="V58" s="175">
        <f t="shared" ref="V58" si="13">IF(U58&lt;=1,0,U58-U58)</f>
        <v>0</v>
      </c>
      <c r="W58" s="23"/>
    </row>
    <row r="59" spans="1:25" s="16" customFormat="1" ht="17.25" customHeight="1">
      <c r="A59" s="227">
        <v>2</v>
      </c>
      <c r="B59" s="179" t="s">
        <v>9</v>
      </c>
      <c r="C59" s="256" t="s">
        <v>65</v>
      </c>
      <c r="D59" s="173">
        <v>2</v>
      </c>
      <c r="E59" s="228"/>
      <c r="F59" s="228"/>
      <c r="G59" s="273"/>
      <c r="H59" s="228"/>
      <c r="I59" s="174" t="s">
        <v>119</v>
      </c>
      <c r="J59" s="178" t="str">
        <f t="shared" ref="J59:J61" si="14">RIGHT(I59,5)</f>
        <v>14:57</v>
      </c>
      <c r="K59" s="183" t="s">
        <v>132</v>
      </c>
      <c r="L59" s="179" t="s">
        <v>98</v>
      </c>
      <c r="M59" s="174" t="s">
        <v>123</v>
      </c>
      <c r="N59" s="180" t="str">
        <f t="shared" ref="N59:N61" si="15">RIGHT(M59,5)</f>
        <v>18:48</v>
      </c>
      <c r="O59" s="173" t="str">
        <f t="shared" ref="O59:O61" si="16">K59</f>
        <v>№6</v>
      </c>
      <c r="P59" s="181">
        <f t="shared" ref="P59:P61" si="17">(M59-I59)*24</f>
        <v>27.849999999976717</v>
      </c>
      <c r="Q59" s="181">
        <f t="shared" ref="Q59:Q61" si="18">P59*2</f>
        <v>55.699999999953434</v>
      </c>
      <c r="S59" s="28"/>
      <c r="T59" s="174" t="s">
        <v>118</v>
      </c>
      <c r="U59" s="175">
        <f t="shared" ref="U59:U61" si="19">(I59-T59)*24</f>
        <v>11.683333333348855</v>
      </c>
      <c r="V59" s="175">
        <f>U59-U59</f>
        <v>0</v>
      </c>
      <c r="W59" s="23"/>
    </row>
    <row r="60" spans="1:25" s="16" customFormat="1" ht="17.25" customHeight="1">
      <c r="A60" s="227">
        <v>3</v>
      </c>
      <c r="B60" s="179" t="s">
        <v>9</v>
      </c>
      <c r="C60" s="256" t="s">
        <v>65</v>
      </c>
      <c r="D60" s="173">
        <v>2</v>
      </c>
      <c r="E60" s="228"/>
      <c r="F60" s="228"/>
      <c r="G60" s="273"/>
      <c r="H60" s="228"/>
      <c r="I60" s="174" t="s">
        <v>139</v>
      </c>
      <c r="J60" s="178" t="str">
        <f t="shared" si="14"/>
        <v>13:38</v>
      </c>
      <c r="K60" s="183" t="s">
        <v>198</v>
      </c>
      <c r="L60" s="179" t="s">
        <v>74</v>
      </c>
      <c r="M60" s="174" t="s">
        <v>141</v>
      </c>
      <c r="N60" s="180" t="str">
        <f t="shared" si="15"/>
        <v>14:23</v>
      </c>
      <c r="O60" s="173" t="str">
        <f t="shared" si="16"/>
        <v>№236</v>
      </c>
      <c r="P60" s="181">
        <f t="shared" si="17"/>
        <v>0.75</v>
      </c>
      <c r="Q60" s="290">
        <f t="shared" si="18"/>
        <v>1.5</v>
      </c>
      <c r="S60" s="28"/>
      <c r="T60" s="174" t="s">
        <v>143</v>
      </c>
      <c r="U60" s="175">
        <f t="shared" si="19"/>
        <v>80.166666666744277</v>
      </c>
      <c r="V60" s="175">
        <f>U60</f>
        <v>80.166666666744277</v>
      </c>
      <c r="W60" s="23"/>
    </row>
    <row r="61" spans="1:25" s="16" customFormat="1" ht="17.25" customHeight="1" thickBot="1">
      <c r="A61" s="227">
        <v>4</v>
      </c>
      <c r="B61" s="179" t="s">
        <v>9</v>
      </c>
      <c r="C61" s="256" t="s">
        <v>65</v>
      </c>
      <c r="D61" s="173">
        <v>2</v>
      </c>
      <c r="E61" s="228"/>
      <c r="F61" s="228"/>
      <c r="G61" s="273"/>
      <c r="H61" s="228"/>
      <c r="I61" s="174" t="s">
        <v>142</v>
      </c>
      <c r="J61" s="178" t="str">
        <f t="shared" si="14"/>
        <v>16:27</v>
      </c>
      <c r="K61" s="183" t="s">
        <v>148</v>
      </c>
      <c r="L61" s="179" t="s">
        <v>89</v>
      </c>
      <c r="M61" s="174" t="s">
        <v>149</v>
      </c>
      <c r="N61" s="180" t="str">
        <f t="shared" si="15"/>
        <v>22:14</v>
      </c>
      <c r="O61" s="173" t="str">
        <f t="shared" si="16"/>
        <v>№34</v>
      </c>
      <c r="P61" s="181">
        <f t="shared" si="17"/>
        <v>29.783333333325572</v>
      </c>
      <c r="Q61" s="181">
        <f t="shared" si="18"/>
        <v>59.566666666651145</v>
      </c>
      <c r="S61" s="28"/>
      <c r="T61" s="174" t="s">
        <v>140</v>
      </c>
      <c r="U61" s="175">
        <f t="shared" si="19"/>
        <v>2.0500000000465661</v>
      </c>
      <c r="V61" s="175">
        <f t="shared" ref="V61" si="20">IF(U61&lt;=1,0,U61-U61)</f>
        <v>0</v>
      </c>
      <c r="W61" s="23"/>
    </row>
    <row r="62" spans="1:25" s="16" customFormat="1" ht="17.25" customHeight="1" thickBot="1">
      <c r="A62" s="165" t="s">
        <v>38</v>
      </c>
      <c r="B62" s="179"/>
      <c r="C62" s="206"/>
      <c r="D62" s="173"/>
      <c r="E62" s="172"/>
      <c r="F62" s="172"/>
      <c r="G62" s="190"/>
      <c r="H62" s="171"/>
      <c r="I62" s="13"/>
      <c r="J62" s="14"/>
      <c r="K62" s="55"/>
      <c r="L62" s="81"/>
      <c r="M62" s="68"/>
      <c r="N62" s="68"/>
      <c r="O62" s="68"/>
      <c r="P62" s="68"/>
      <c r="Q62" s="15"/>
      <c r="T62" s="233"/>
      <c r="U62" s="224">
        <f>SUM(U58:U61)*2</f>
        <v>196.00000000011642</v>
      </c>
      <c r="V62" s="225">
        <f>SUM(V58:V61)*2</f>
        <v>160.33333333348855</v>
      </c>
      <c r="X62" s="23"/>
      <c r="Y62" s="23"/>
    </row>
    <row r="63" spans="1:25" s="16" customFormat="1" ht="17.25" customHeight="1">
      <c r="A63" s="165" t="s">
        <v>39</v>
      </c>
      <c r="B63" s="179"/>
      <c r="C63" s="206"/>
      <c r="D63" s="173"/>
      <c r="E63" s="171">
        <f>Пробеги!E40+Пробеги!E41</f>
        <v>30928</v>
      </c>
      <c r="F63" s="171">
        <f>E63</f>
        <v>30928</v>
      </c>
      <c r="G63" s="187">
        <v>0</v>
      </c>
      <c r="H63" s="171">
        <f>F63</f>
        <v>30928</v>
      </c>
      <c r="I63" s="13"/>
      <c r="J63" s="14"/>
      <c r="K63" s="68"/>
      <c r="L63" s="81"/>
      <c r="M63" s="68"/>
      <c r="N63" s="68"/>
      <c r="O63" s="68"/>
      <c r="P63" s="68"/>
      <c r="Q63" s="15"/>
      <c r="T63" s="207"/>
      <c r="U63" s="207"/>
      <c r="V63" s="207"/>
      <c r="Y63" s="23"/>
    </row>
    <row r="64" spans="1:25" s="16" customFormat="1" ht="17.25" customHeight="1">
      <c r="A64" s="163">
        <v>1</v>
      </c>
      <c r="B64" s="161" t="s">
        <v>9</v>
      </c>
      <c r="C64" s="161" t="s">
        <v>66</v>
      </c>
      <c r="D64" s="163">
        <v>2</v>
      </c>
      <c r="E64" s="258"/>
      <c r="F64" s="258"/>
      <c r="G64" s="259"/>
      <c r="H64" s="258"/>
      <c r="I64" s="174" t="s">
        <v>104</v>
      </c>
      <c r="J64" s="178" t="str">
        <f t="shared" ref="J64" si="21">RIGHT(I64,5)</f>
        <v>00:55</v>
      </c>
      <c r="K64" s="183" t="s">
        <v>117</v>
      </c>
      <c r="L64" s="179" t="s">
        <v>54</v>
      </c>
      <c r="M64" s="174" t="s">
        <v>105</v>
      </c>
      <c r="N64" s="180" t="str">
        <f t="shared" ref="N64" si="22">RIGHT(M64,5)</f>
        <v>03:05</v>
      </c>
      <c r="O64" s="173" t="str">
        <f t="shared" ref="O64" si="23">K64</f>
        <v>№502</v>
      </c>
      <c r="P64" s="181">
        <f t="shared" ref="P64" si="24">(M64-I64)*24</f>
        <v>2.1666666665696539</v>
      </c>
      <c r="Q64" s="181">
        <f t="shared" ref="Q64" si="25">P64*2</f>
        <v>4.3333333331393078</v>
      </c>
      <c r="S64" s="28"/>
      <c r="T64" s="174" t="s">
        <v>103</v>
      </c>
      <c r="U64" s="175">
        <f t="shared" ref="U64" si="26">(I64-T64)*24</f>
        <v>3.0666666667093523</v>
      </c>
      <c r="V64" s="175">
        <f t="shared" ref="V64" si="27">IF(U64&lt;=1,0,U64-U64)</f>
        <v>0</v>
      </c>
      <c r="Y64" s="23"/>
    </row>
    <row r="65" spans="1:29" s="16" customFormat="1" ht="17.25" customHeight="1">
      <c r="A65" s="226">
        <v>2</v>
      </c>
      <c r="B65" s="161" t="s">
        <v>9</v>
      </c>
      <c r="C65" s="161" t="s">
        <v>66</v>
      </c>
      <c r="D65" s="163">
        <v>2</v>
      </c>
      <c r="E65" s="228"/>
      <c r="F65" s="228"/>
      <c r="G65" s="273"/>
      <c r="H65" s="228"/>
      <c r="I65" s="174" t="s">
        <v>199</v>
      </c>
      <c r="J65" s="178" t="str">
        <f t="shared" ref="J65:J66" si="28">RIGHT(I65,5)</f>
        <v>09:04</v>
      </c>
      <c r="K65" s="183" t="s">
        <v>203</v>
      </c>
      <c r="L65" s="179" t="s">
        <v>54</v>
      </c>
      <c r="M65" s="174" t="s">
        <v>202</v>
      </c>
      <c r="N65" s="180" t="str">
        <f t="shared" ref="N65:N66" si="29">RIGHT(M65,5)</f>
        <v>11:03</v>
      </c>
      <c r="O65" s="173" t="str">
        <f t="shared" ref="O65:O66" si="30">K65</f>
        <v>№648</v>
      </c>
      <c r="P65" s="181">
        <f t="shared" ref="P65:P66" si="31">(M65-I65)*24</f>
        <v>1.9833333333372138</v>
      </c>
      <c r="Q65" s="181">
        <f t="shared" ref="Q65:Q66" si="32">P65*2</f>
        <v>3.9666666666744277</v>
      </c>
      <c r="S65" s="28"/>
      <c r="T65" s="174" t="s">
        <v>197</v>
      </c>
      <c r="U65" s="175">
        <f t="shared" ref="U65:U66" si="33">(I65-T65)*24</f>
        <v>6</v>
      </c>
      <c r="V65" s="175">
        <f t="shared" ref="V65" si="34">IF(U65&lt;=1,0,U65-U65)</f>
        <v>0</v>
      </c>
      <c r="Y65" s="23"/>
    </row>
    <row r="66" spans="1:29" s="16" customFormat="1" ht="17.25" customHeight="1" thickBot="1">
      <c r="A66" s="226">
        <v>3</v>
      </c>
      <c r="B66" s="161" t="s">
        <v>9</v>
      </c>
      <c r="C66" s="161" t="s">
        <v>66</v>
      </c>
      <c r="D66" s="163">
        <v>2</v>
      </c>
      <c r="E66" s="228"/>
      <c r="F66" s="228"/>
      <c r="G66" s="273"/>
      <c r="H66" s="228"/>
      <c r="I66" s="174" t="s">
        <v>205</v>
      </c>
      <c r="J66" s="178" t="str">
        <f t="shared" si="28"/>
        <v>14:23</v>
      </c>
      <c r="K66" s="183" t="s">
        <v>218</v>
      </c>
      <c r="L66" s="179" t="s">
        <v>74</v>
      </c>
      <c r="M66" s="174" t="s">
        <v>206</v>
      </c>
      <c r="N66" s="180" t="str">
        <f t="shared" si="29"/>
        <v>15:51</v>
      </c>
      <c r="O66" s="173" t="str">
        <f t="shared" si="30"/>
        <v>№269</v>
      </c>
      <c r="P66" s="181">
        <f t="shared" si="31"/>
        <v>1.4666666665580124</v>
      </c>
      <c r="Q66" s="290">
        <f t="shared" si="32"/>
        <v>2.9333333331160247</v>
      </c>
      <c r="S66" s="28"/>
      <c r="T66" s="174" t="s">
        <v>204</v>
      </c>
      <c r="U66" s="175">
        <f t="shared" si="33"/>
        <v>1.9833333333372138</v>
      </c>
      <c r="V66" s="175">
        <f>U66</f>
        <v>1.9833333333372138</v>
      </c>
      <c r="Y66" s="23"/>
    </row>
    <row r="67" spans="1:29" s="16" customFormat="1" ht="17.5" customHeight="1" thickBot="1">
      <c r="A67" s="165" t="s">
        <v>38</v>
      </c>
      <c r="B67" s="186"/>
      <c r="C67" s="206"/>
      <c r="D67" s="183"/>
      <c r="E67" s="171"/>
      <c r="F67" s="171"/>
      <c r="G67" s="187"/>
      <c r="H67" s="171"/>
      <c r="I67" s="13"/>
      <c r="J67" s="14"/>
      <c r="K67" s="55"/>
      <c r="L67" s="68"/>
      <c r="M67" s="68"/>
      <c r="N67" s="68"/>
      <c r="O67" s="68"/>
      <c r="P67" s="68"/>
      <c r="Q67" s="15"/>
      <c r="T67" s="208"/>
      <c r="U67" s="177">
        <f>SUM(U64:U66)*2</f>
        <v>22.100000000093132</v>
      </c>
      <c r="V67" s="177">
        <f>SUM(V64:V66)*2</f>
        <v>3.9666666666744277</v>
      </c>
      <c r="Y67" s="23"/>
    </row>
    <row r="68" spans="1:29" s="16" customFormat="1" ht="17.5" customHeight="1" thickBot="1">
      <c r="A68" s="165" t="s">
        <v>39</v>
      </c>
      <c r="B68" s="186"/>
      <c r="C68" s="206"/>
      <c r="D68" s="183"/>
      <c r="E68" s="171">
        <f>Пробеги!E42+Пробеги!E43</f>
        <v>42288</v>
      </c>
      <c r="F68" s="171">
        <f>E68</f>
        <v>42288</v>
      </c>
      <c r="G68" s="187">
        <v>0</v>
      </c>
      <c r="H68" s="171">
        <f>F68</f>
        <v>42288</v>
      </c>
      <c r="I68" s="13"/>
      <c r="J68" s="14"/>
      <c r="K68" s="68"/>
      <c r="L68" s="68"/>
      <c r="M68" s="68"/>
      <c r="N68" s="68"/>
      <c r="O68" s="68"/>
      <c r="P68" s="68"/>
      <c r="Q68" s="15"/>
      <c r="T68" s="41"/>
      <c r="U68" s="140"/>
      <c r="V68" s="252"/>
      <c r="W68" s="42"/>
      <c r="Y68" s="23"/>
    </row>
    <row r="69" spans="1:29" s="106" customFormat="1" ht="17.5" customHeight="1">
      <c r="A69" s="264">
        <v>1</v>
      </c>
      <c r="B69" s="186" t="s">
        <v>9</v>
      </c>
      <c r="C69" s="182" t="s">
        <v>70</v>
      </c>
      <c r="D69" s="173">
        <v>2</v>
      </c>
      <c r="E69" s="265"/>
      <c r="F69" s="265"/>
      <c r="G69" s="266"/>
      <c r="H69" s="267"/>
      <c r="I69" s="174" t="s">
        <v>112</v>
      </c>
      <c r="J69" s="178" t="str">
        <f>RIGHT(I69,5)</f>
        <v>16:57</v>
      </c>
      <c r="K69" s="183" t="s">
        <v>189</v>
      </c>
      <c r="L69" s="179" t="s">
        <v>54</v>
      </c>
      <c r="M69" s="174" t="s">
        <v>113</v>
      </c>
      <c r="N69" s="180" t="str">
        <f>RIGHT(M69,5)</f>
        <v>19:02</v>
      </c>
      <c r="O69" s="173" t="str">
        <f>K69</f>
        <v>№516</v>
      </c>
      <c r="P69" s="181">
        <f>(M69-I69)*24</f>
        <v>2.0833333333139308</v>
      </c>
      <c r="Q69" s="181">
        <f>P69*2</f>
        <v>4.1666666666278616</v>
      </c>
      <c r="R69" s="16"/>
      <c r="S69" s="28"/>
      <c r="T69" s="174" t="s">
        <v>111</v>
      </c>
      <c r="U69" s="175">
        <f>(I69-T69)*24</f>
        <v>7.7666666666627862</v>
      </c>
      <c r="V69" s="175">
        <f>IF(U69&lt;=1,0,U69-U69)</f>
        <v>0</v>
      </c>
      <c r="W69" s="42"/>
      <c r="X69" s="23"/>
      <c r="Y69" s="23"/>
      <c r="Z69" s="23"/>
      <c r="AA69" s="16"/>
      <c r="AB69" s="16"/>
    </row>
    <row r="70" spans="1:29" s="106" customFormat="1" ht="17.5" customHeight="1">
      <c r="A70" s="274">
        <v>2</v>
      </c>
      <c r="B70" s="186" t="s">
        <v>9</v>
      </c>
      <c r="C70" s="182" t="s">
        <v>70</v>
      </c>
      <c r="D70" s="173">
        <v>2</v>
      </c>
      <c r="E70" s="230"/>
      <c r="F70" s="230"/>
      <c r="G70" s="255"/>
      <c r="H70" s="228"/>
      <c r="I70" s="174" t="s">
        <v>120</v>
      </c>
      <c r="J70" s="178" t="str">
        <f t="shared" ref="J70" si="35">RIGHT(I70,5)</f>
        <v>19:27</v>
      </c>
      <c r="K70" s="183" t="s">
        <v>129</v>
      </c>
      <c r="L70" s="179" t="s">
        <v>74</v>
      </c>
      <c r="M70" s="174" t="s">
        <v>121</v>
      </c>
      <c r="N70" s="180" t="str">
        <f t="shared" ref="N70" si="36">RIGHT(M70,5)</f>
        <v>22:30</v>
      </c>
      <c r="O70" s="173" t="str">
        <f t="shared" ref="O70" si="37">K70</f>
        <v>№213</v>
      </c>
      <c r="P70" s="181">
        <f t="shared" ref="P70" si="38">(M70-I70)*24</f>
        <v>3.0499999999883585</v>
      </c>
      <c r="Q70" s="290">
        <f t="shared" ref="Q70" si="39">P70*2</f>
        <v>6.0999999999767169</v>
      </c>
      <c r="R70" s="16"/>
      <c r="S70" s="28"/>
      <c r="T70" s="174" t="s">
        <v>122</v>
      </c>
      <c r="U70" s="175">
        <f t="shared" ref="U70" si="40">(I70-T70)*24</f>
        <v>70.433333333290648</v>
      </c>
      <c r="V70" s="175">
        <f>U70</f>
        <v>70.433333333290648</v>
      </c>
      <c r="W70" s="42"/>
      <c r="X70" s="23"/>
      <c r="Y70" s="23"/>
      <c r="Z70" s="23"/>
      <c r="AA70" s="16"/>
      <c r="AB70" s="16"/>
    </row>
    <row r="71" spans="1:29" s="106" customFormat="1" ht="17.5" customHeight="1" thickBot="1">
      <c r="A71" s="274">
        <v>3</v>
      </c>
      <c r="B71" s="186" t="s">
        <v>9</v>
      </c>
      <c r="C71" s="182" t="s">
        <v>70</v>
      </c>
      <c r="D71" s="173">
        <v>2</v>
      </c>
      <c r="E71" s="230"/>
      <c r="F71" s="230"/>
      <c r="G71" s="255"/>
      <c r="H71" s="228"/>
      <c r="I71" s="174" t="s">
        <v>214</v>
      </c>
      <c r="J71" s="178" t="str">
        <f>RIGHT(I71,5)</f>
        <v>20:46</v>
      </c>
      <c r="K71" s="183" t="s">
        <v>217</v>
      </c>
      <c r="L71" s="179" t="s">
        <v>54</v>
      </c>
      <c r="M71" s="174" t="s">
        <v>215</v>
      </c>
      <c r="N71" s="180" t="str">
        <f>RIGHT(M71,5)</f>
        <v>22:54</v>
      </c>
      <c r="O71" s="173" t="str">
        <f>K71</f>
        <v>№674</v>
      </c>
      <c r="P71" s="181">
        <f>(M71-I71)*24</f>
        <v>2.1333333334769122</v>
      </c>
      <c r="Q71" s="181">
        <f>P71*2</f>
        <v>4.2666666669538245</v>
      </c>
      <c r="R71" s="16"/>
      <c r="S71" s="28"/>
      <c r="T71" s="174" t="s">
        <v>213</v>
      </c>
      <c r="U71" s="175">
        <f>(I71-T71)*24</f>
        <v>4.3499999998603016</v>
      </c>
      <c r="V71" s="175">
        <f>IF(U71&lt;=1,0,U71-U71)</f>
        <v>0</v>
      </c>
      <c r="W71" s="42"/>
      <c r="X71" s="23"/>
      <c r="Y71" s="23"/>
      <c r="Z71" s="23"/>
      <c r="AA71" s="16"/>
      <c r="AB71" s="16"/>
    </row>
    <row r="72" spans="1:29" s="16" customFormat="1" ht="17.25" customHeight="1" thickBot="1">
      <c r="A72" s="165" t="s">
        <v>38</v>
      </c>
      <c r="B72" s="268"/>
      <c r="C72" s="269"/>
      <c r="D72" s="270"/>
      <c r="E72" s="271"/>
      <c r="F72" s="271"/>
      <c r="G72" s="272"/>
      <c r="H72" s="220"/>
      <c r="I72" s="90"/>
      <c r="J72" s="91"/>
      <c r="K72" s="55"/>
      <c r="L72" s="89"/>
      <c r="M72" s="89"/>
      <c r="N72" s="89"/>
      <c r="O72" s="89"/>
      <c r="P72" s="89"/>
      <c r="Q72" s="101"/>
      <c r="T72" s="176"/>
      <c r="U72" s="177">
        <f>SUM(U69:U71)*2</f>
        <v>165.09999999962747</v>
      </c>
      <c r="V72" s="177">
        <f>SUM(V69:V71)*2</f>
        <v>140.8666666665813</v>
      </c>
      <c r="W72" s="42"/>
    </row>
    <row r="73" spans="1:29" s="16" customFormat="1" ht="17.5" customHeight="1" thickBot="1">
      <c r="A73" s="165" t="s">
        <v>39</v>
      </c>
      <c r="B73" s="268"/>
      <c r="C73" s="269"/>
      <c r="D73" s="270"/>
      <c r="E73" s="171">
        <f>Пробеги!E44+Пробеги!E45</f>
        <v>36358</v>
      </c>
      <c r="F73" s="171">
        <f>E73</f>
        <v>36358</v>
      </c>
      <c r="G73" s="190">
        <v>0</v>
      </c>
      <c r="H73" s="171">
        <f>F73</f>
        <v>36358</v>
      </c>
      <c r="I73" s="90"/>
      <c r="J73" s="91"/>
      <c r="K73" s="89"/>
      <c r="L73" s="89"/>
      <c r="M73" s="89"/>
      <c r="N73" s="89"/>
      <c r="O73" s="89"/>
      <c r="P73" s="89"/>
      <c r="Q73" s="101"/>
      <c r="T73" s="41"/>
      <c r="U73" s="177">
        <f>U17+U21+U25+U29+U34+U38+U42+U47+U52+U56+U62+U67+U72</f>
        <v>728.93333333381452</v>
      </c>
      <c r="V73" s="177">
        <f>V17+V21+V25+V29+V34+V38+V42+V47+V52+V56+V62+V67+V72</f>
        <v>338.50000000011642</v>
      </c>
      <c r="W73" s="42"/>
    </row>
    <row r="74" spans="1:29" s="17" customFormat="1" ht="18" customHeight="1">
      <c r="A74" s="235" t="s">
        <v>40</v>
      </c>
      <c r="B74" s="141"/>
      <c r="C74" s="142"/>
      <c r="D74" s="142"/>
      <c r="E74" s="59"/>
      <c r="F74" s="59"/>
      <c r="G74" s="15"/>
      <c r="H74" s="123"/>
      <c r="I74" s="124"/>
      <c r="J74" s="125"/>
      <c r="K74" s="59"/>
      <c r="L74" s="59"/>
      <c r="M74" s="59"/>
      <c r="N74" s="59"/>
      <c r="O74" s="59"/>
      <c r="P74" s="60"/>
      <c r="Q74" s="181">
        <f>SUM(Q14:Q73)</f>
        <v>1003.6999999989057</v>
      </c>
      <c r="T74" s="53"/>
      <c r="U74" s="126"/>
      <c r="V74" s="53"/>
    </row>
    <row r="75" spans="1:29" s="17" customFormat="1" ht="18">
      <c r="A75" s="302" t="s">
        <v>52</v>
      </c>
      <c r="B75" s="302"/>
      <c r="C75" s="302"/>
      <c r="D75" s="302"/>
      <c r="E75" s="302"/>
      <c r="F75" s="302"/>
      <c r="G75" s="302"/>
      <c r="H75" s="302"/>
      <c r="I75" s="302"/>
      <c r="J75" s="302"/>
      <c r="K75" s="302"/>
      <c r="L75" s="302"/>
      <c r="M75" s="302"/>
      <c r="N75" s="302"/>
      <c r="O75" s="302"/>
      <c r="P75" s="302"/>
      <c r="Q75" s="302"/>
      <c r="S75" s="16"/>
      <c r="T75" s="86"/>
      <c r="U75" s="86"/>
      <c r="V75" s="86"/>
    </row>
    <row r="76" spans="1:29" s="17" customFormat="1" ht="18">
      <c r="A76" s="200"/>
      <c r="B76" s="200"/>
      <c r="C76" s="200"/>
      <c r="D76" s="200"/>
      <c r="E76" s="200"/>
      <c r="F76" s="200"/>
      <c r="G76" s="200"/>
      <c r="H76" s="200"/>
      <c r="I76" s="200"/>
      <c r="J76" s="200"/>
      <c r="K76" s="200"/>
      <c r="L76" s="200"/>
      <c r="M76" s="200"/>
      <c r="N76" s="200"/>
      <c r="O76" s="12"/>
      <c r="P76" s="12"/>
      <c r="Q76" s="201"/>
      <c r="T76" s="202" t="s">
        <v>12</v>
      </c>
      <c r="U76" s="202"/>
      <c r="V76" s="202"/>
      <c r="W76" s="202"/>
      <c r="X76" s="202"/>
      <c r="Y76" s="202"/>
      <c r="Z76" s="202"/>
    </row>
    <row r="77" spans="1:29" s="17" customFormat="1" ht="18">
      <c r="A77" s="303" t="s">
        <v>4</v>
      </c>
      <c r="B77" s="303"/>
      <c r="C77" s="303"/>
      <c r="D77" s="303"/>
      <c r="E77" s="303"/>
      <c r="F77" s="303"/>
      <c r="G77" s="303"/>
      <c r="H77" s="303"/>
      <c r="I77" s="303"/>
      <c r="J77" s="303"/>
      <c r="K77" s="303"/>
      <c r="L77" s="303"/>
      <c r="M77" s="303"/>
      <c r="N77" s="303"/>
      <c r="O77" s="303"/>
      <c r="P77" s="303"/>
      <c r="Q77" s="303"/>
      <c r="T77" s="205" t="s">
        <v>42</v>
      </c>
      <c r="U77" s="205" t="s">
        <v>43</v>
      </c>
      <c r="V77" s="205" t="s">
        <v>13</v>
      </c>
      <c r="W77" s="205" t="s">
        <v>14</v>
      </c>
      <c r="X77" s="205" t="s">
        <v>15</v>
      </c>
      <c r="Y77" s="205" t="s">
        <v>16</v>
      </c>
      <c r="Z77" s="205" t="s">
        <v>44</v>
      </c>
    </row>
    <row r="78" spans="1:29" s="17" customFormat="1" ht="21" customHeight="1">
      <c r="A78" s="107" t="s">
        <v>41</v>
      </c>
      <c r="B78" s="108"/>
      <c r="C78" s="109"/>
      <c r="D78" s="192"/>
      <c r="E78" s="109"/>
      <c r="F78" s="109"/>
      <c r="G78" s="193">
        <f>SUM(H73,H68,H63,H57,H53,H47,H42,H38,H34,H30,H26,H22,H18)</f>
        <v>492026</v>
      </c>
      <c r="I78" s="143"/>
      <c r="J78" s="144"/>
      <c r="K78" s="22"/>
      <c r="L78" s="145"/>
      <c r="M78" s="146"/>
      <c r="N78" s="147"/>
      <c r="O78" s="18"/>
      <c r="P78" s="18"/>
      <c r="Q78" s="18"/>
      <c r="T78" s="182" t="s">
        <v>9</v>
      </c>
      <c r="U78" s="182">
        <v>10</v>
      </c>
      <c r="V78" s="206" t="s">
        <v>91</v>
      </c>
      <c r="W78" s="275" t="s">
        <v>74</v>
      </c>
      <c r="X78" s="206" t="s">
        <v>92</v>
      </c>
      <c r="Y78" s="182" t="s">
        <v>138</v>
      </c>
      <c r="Z78" s="276">
        <f>(X78-V78)*24*2</f>
        <v>0.69999999983701855</v>
      </c>
    </row>
    <row r="79" spans="1:29" s="17" customFormat="1" ht="18">
      <c r="A79" s="107" t="s">
        <v>77</v>
      </c>
      <c r="B79" s="107"/>
      <c r="C79" s="107"/>
      <c r="D79" s="107"/>
      <c r="E79" s="107"/>
      <c r="F79" s="107"/>
      <c r="G79" s="194">
        <v>0</v>
      </c>
      <c r="H79" s="22"/>
      <c r="I79" s="22"/>
      <c r="J79" s="144"/>
      <c r="K79" s="18"/>
      <c r="L79" s="148"/>
      <c r="M79" s="22"/>
      <c r="N79" s="147"/>
      <c r="O79" s="22"/>
      <c r="P79" s="22"/>
      <c r="Q79" s="22"/>
      <c r="T79" s="182" t="s">
        <v>9</v>
      </c>
      <c r="U79" s="182">
        <v>5</v>
      </c>
      <c r="V79" s="206" t="s">
        <v>162</v>
      </c>
      <c r="W79" s="275" t="s">
        <v>74</v>
      </c>
      <c r="X79" s="206" t="s">
        <v>163</v>
      </c>
      <c r="Y79" s="182" t="s">
        <v>138</v>
      </c>
      <c r="Z79" s="276">
        <f>(X79-V79)*24*2</f>
        <v>1.966666666790843</v>
      </c>
      <c r="AB79" s="87"/>
      <c r="AC79" s="27"/>
    </row>
    <row r="80" spans="1:29" s="17" customFormat="1" ht="18">
      <c r="A80" s="107" t="s">
        <v>19</v>
      </c>
      <c r="B80" s="108"/>
      <c r="C80" s="109"/>
      <c r="D80" s="109"/>
      <c r="E80" s="109"/>
      <c r="F80" s="109"/>
      <c r="G80" s="194">
        <v>0</v>
      </c>
      <c r="H80" s="18"/>
      <c r="I80" s="18"/>
      <c r="K80" s="22"/>
      <c r="M80" s="18"/>
      <c r="N80" s="147"/>
      <c r="O80" s="18"/>
      <c r="P80" s="149"/>
      <c r="Q80" s="149"/>
      <c r="T80" s="182" t="s">
        <v>9</v>
      </c>
      <c r="U80" s="182">
        <v>4</v>
      </c>
      <c r="V80" s="206" t="s">
        <v>195</v>
      </c>
      <c r="W80" s="275" t="s">
        <v>74</v>
      </c>
      <c r="X80" s="206" t="s">
        <v>196</v>
      </c>
      <c r="Y80" s="182" t="s">
        <v>138</v>
      </c>
      <c r="Z80" s="276">
        <f>(X80-V80)*24*2</f>
        <v>7.033333333209157</v>
      </c>
      <c r="AB80" s="87"/>
      <c r="AC80" s="27"/>
    </row>
    <row r="81" spans="1:29" s="17" customFormat="1" ht="18">
      <c r="A81" s="107"/>
      <c r="B81" s="108"/>
      <c r="C81" s="109"/>
      <c r="D81" s="109"/>
      <c r="E81" s="109"/>
      <c r="F81" s="109"/>
      <c r="G81" s="109"/>
      <c r="H81" s="18"/>
      <c r="I81" s="18"/>
      <c r="J81" s="146"/>
      <c r="K81" s="18"/>
      <c r="L81" s="66"/>
      <c r="M81" s="148"/>
      <c r="N81" s="147"/>
      <c r="O81" s="148"/>
      <c r="T81" s="182" t="s">
        <v>9</v>
      </c>
      <c r="U81" s="182">
        <v>1</v>
      </c>
      <c r="V81" s="206" t="s">
        <v>209</v>
      </c>
      <c r="W81" s="275" t="s">
        <v>74</v>
      </c>
      <c r="X81" s="206" t="s">
        <v>220</v>
      </c>
      <c r="Y81" s="182" t="s">
        <v>138</v>
      </c>
      <c r="Z81" s="276">
        <f>(X81-V81)*24*2</f>
        <v>7.966666666790843</v>
      </c>
      <c r="AB81" s="87"/>
      <c r="AC81" s="27"/>
    </row>
    <row r="82" spans="1:29" s="17" customFormat="1" ht="18">
      <c r="A82" s="107" t="s">
        <v>17</v>
      </c>
      <c r="B82" s="107"/>
      <c r="C82" s="107"/>
      <c r="D82" s="107"/>
      <c r="E82" s="107"/>
      <c r="F82" s="107"/>
      <c r="G82" s="195">
        <f>(DAY(EOMONTH(V116,0))*24)*13*2-V73-Q74</f>
        <v>18001.800000000978</v>
      </c>
      <c r="H82" s="22"/>
      <c r="I82" s="150"/>
      <c r="J82" s="151"/>
      <c r="L82" s="152"/>
      <c r="N82" s="147"/>
      <c r="T82" s="182"/>
      <c r="U82" s="182"/>
      <c r="V82" s="206"/>
      <c r="W82" s="275"/>
      <c r="X82" s="206"/>
      <c r="Y82" s="182"/>
      <c r="Z82" s="276"/>
      <c r="AB82" s="87"/>
      <c r="AC82" s="27"/>
    </row>
    <row r="83" spans="1:29" s="17" customFormat="1" ht="18">
      <c r="A83" s="107" t="s">
        <v>18</v>
      </c>
      <c r="B83" s="107"/>
      <c r="C83" s="107"/>
      <c r="D83" s="107"/>
      <c r="E83" s="109"/>
      <c r="F83" s="109"/>
      <c r="G83" s="195">
        <f>Q74-Q70-Q27-Q15-Q60-Q55-Q45-Q36-Q66</f>
        <v>430.89999999920838</v>
      </c>
      <c r="H83" s="149"/>
      <c r="I83" s="153"/>
      <c r="K83" s="152"/>
      <c r="L83" s="154"/>
      <c r="M83" s="155"/>
      <c r="N83" s="147"/>
      <c r="T83" s="182"/>
      <c r="U83" s="182"/>
      <c r="V83" s="206"/>
      <c r="W83" s="277"/>
      <c r="X83" s="206"/>
      <c r="Y83" s="182"/>
      <c r="Z83" s="276"/>
      <c r="AC83" s="27"/>
    </row>
    <row r="84" spans="1:29" s="17" customFormat="1" ht="18">
      <c r="A84" s="196" t="s">
        <v>20</v>
      </c>
      <c r="B84" s="196"/>
      <c r="C84" s="196"/>
      <c r="D84" s="196"/>
      <c r="E84" s="109"/>
      <c r="F84" s="107"/>
      <c r="G84" s="195">
        <f>Q45+Q36</f>
        <v>459.16666666686069</v>
      </c>
      <c r="H84" s="22"/>
      <c r="I84" s="151"/>
      <c r="L84" s="147"/>
      <c r="M84" s="147"/>
      <c r="N84" s="147"/>
      <c r="O84" s="18"/>
      <c r="P84" s="18"/>
      <c r="Q84" s="18"/>
      <c r="T84" s="182"/>
      <c r="U84" s="182"/>
      <c r="V84" s="206"/>
      <c r="W84" s="275"/>
      <c r="X84" s="206"/>
      <c r="Y84" s="182"/>
      <c r="Z84" s="276"/>
    </row>
    <row r="85" spans="1:29" s="17" customFormat="1" ht="18">
      <c r="A85" s="109" t="s">
        <v>45</v>
      </c>
      <c r="B85" s="107"/>
      <c r="C85" s="107"/>
      <c r="D85" s="107"/>
      <c r="E85" s="107"/>
      <c r="F85" s="197"/>
      <c r="G85" s="195">
        <f>Q70+Q27+Q15+Q60+Q55+Q66</f>
        <v>113.63333333283663</v>
      </c>
      <c r="H85" s="22"/>
      <c r="I85" s="156"/>
      <c r="J85" s="157"/>
      <c r="K85" s="148"/>
      <c r="L85" s="157"/>
      <c r="M85" s="158"/>
      <c r="N85" s="147"/>
      <c r="O85" s="148"/>
      <c r="T85" s="182"/>
      <c r="U85" s="182"/>
      <c r="V85" s="206"/>
      <c r="W85" s="275"/>
      <c r="X85" s="206"/>
      <c r="Y85" s="182"/>
      <c r="Z85" s="276"/>
    </row>
    <row r="86" spans="1:29" s="17" customFormat="1" ht="18.75" customHeight="1">
      <c r="A86" s="107" t="s">
        <v>21</v>
      </c>
      <c r="B86" s="108"/>
      <c r="C86" s="109"/>
      <c r="D86" s="109"/>
      <c r="E86" s="198"/>
      <c r="F86" s="199"/>
      <c r="G86" s="195">
        <v>0</v>
      </c>
      <c r="H86" s="18"/>
      <c r="I86" s="159"/>
      <c r="J86" s="148"/>
      <c r="K86" s="148"/>
      <c r="L86" s="148"/>
      <c r="N86" s="147"/>
      <c r="T86" s="182"/>
      <c r="U86" s="182"/>
      <c r="V86" s="206"/>
      <c r="W86" s="275"/>
      <c r="X86" s="206"/>
      <c r="Y86" s="182"/>
      <c r="Z86" s="276"/>
    </row>
    <row r="87" spans="1:29" s="17" customFormat="1" ht="18.75" customHeight="1">
      <c r="A87" s="107" t="s">
        <v>22</v>
      </c>
      <c r="B87" s="108"/>
      <c r="C87" s="109"/>
      <c r="D87" s="109"/>
      <c r="E87" s="109"/>
      <c r="F87" s="109"/>
      <c r="G87" s="198">
        <f>V73</f>
        <v>338.50000000011642</v>
      </c>
      <c r="H87" s="18"/>
      <c r="I87" s="151"/>
      <c r="J87" s="157"/>
      <c r="M87" s="147"/>
      <c r="N87" s="147"/>
      <c r="T87" s="182"/>
      <c r="U87" s="182"/>
      <c r="V87" s="206"/>
      <c r="W87" s="275"/>
      <c r="X87" s="206"/>
      <c r="Y87" s="182"/>
      <c r="Z87" s="276"/>
    </row>
    <row r="88" spans="1:29" s="17" customFormat="1" ht="18.75" customHeight="1">
      <c r="A88" s="107" t="s">
        <v>23</v>
      </c>
      <c r="B88" s="108"/>
      <c r="C88" s="109"/>
      <c r="D88" s="109"/>
      <c r="E88" s="109"/>
      <c r="F88" s="109"/>
      <c r="G88" s="198">
        <f>G82/(G82+G83+G85+G86+G87)</f>
        <v>0.95324113706772606</v>
      </c>
      <c r="H88" s="18"/>
      <c r="I88" s="160"/>
      <c r="J88" s="148"/>
      <c r="K88" s="147"/>
      <c r="L88" s="147"/>
      <c r="M88" s="147"/>
      <c r="N88" s="147"/>
      <c r="O88" s="18"/>
      <c r="P88" s="18"/>
      <c r="Q88" s="18"/>
      <c r="T88" s="12"/>
      <c r="U88" s="12"/>
      <c r="V88" s="12"/>
      <c r="W88" s="12"/>
      <c r="X88" s="12"/>
      <c r="Y88" s="12"/>
      <c r="Z88" s="12"/>
    </row>
    <row r="89" spans="1:29" s="17" customFormat="1" ht="57" customHeight="1">
      <c r="A89" s="107"/>
      <c r="B89" s="108"/>
      <c r="C89" s="109"/>
      <c r="D89" s="109"/>
      <c r="E89" s="109"/>
      <c r="F89" s="109"/>
      <c r="G89" s="109"/>
      <c r="H89" s="109"/>
      <c r="I89" s="109"/>
      <c r="J89" s="109"/>
      <c r="K89" s="109"/>
      <c r="L89" s="111"/>
      <c r="M89" s="110"/>
      <c r="N89" s="109"/>
      <c r="O89" s="109"/>
      <c r="P89" s="109"/>
      <c r="Q89" s="109"/>
      <c r="T89" s="12"/>
      <c r="U89" s="12"/>
      <c r="V89" s="12"/>
      <c r="W89" s="12"/>
      <c r="X89" s="12"/>
      <c r="Y89" s="12"/>
      <c r="Z89" s="12"/>
    </row>
    <row r="90" spans="1:29" s="17" customFormat="1" ht="18.75" customHeight="1">
      <c r="A90" s="112"/>
      <c r="B90" s="299"/>
      <c r="C90" s="299"/>
      <c r="D90" s="299"/>
      <c r="E90" s="299"/>
      <c r="F90" s="299"/>
      <c r="G90" s="299"/>
      <c r="H90" s="299"/>
      <c r="I90" s="12"/>
      <c r="J90" s="109"/>
      <c r="K90" s="113"/>
      <c r="L90" s="113"/>
      <c r="M90" s="113"/>
      <c r="N90" s="12"/>
      <c r="O90" s="299"/>
      <c r="P90" s="305"/>
      <c r="Q90" s="305"/>
      <c r="T90" s="304" t="s">
        <v>76</v>
      </c>
      <c r="U90" s="304"/>
      <c r="V90" s="304"/>
      <c r="W90" s="304"/>
      <c r="X90" s="304"/>
      <c r="Y90" s="304"/>
      <c r="Z90" s="304"/>
    </row>
    <row r="91" spans="1:29" s="16" customFormat="1" ht="72.75" customHeight="1">
      <c r="A91" s="114"/>
      <c r="B91" s="115"/>
      <c r="C91" s="116"/>
      <c r="D91" s="115"/>
      <c r="E91" s="115"/>
      <c r="F91" s="116"/>
      <c r="G91" s="116"/>
      <c r="H91" s="116"/>
      <c r="I91" s="116"/>
      <c r="J91" s="117"/>
      <c r="K91" s="118"/>
      <c r="L91" s="115"/>
      <c r="M91" s="115"/>
      <c r="N91" s="116"/>
      <c r="O91" s="116"/>
      <c r="P91" s="115"/>
      <c r="Q91" s="119"/>
      <c r="T91" s="204" t="s">
        <v>42</v>
      </c>
      <c r="U91" s="204" t="s">
        <v>43</v>
      </c>
      <c r="V91" s="204" t="s">
        <v>13</v>
      </c>
      <c r="W91" s="204" t="s">
        <v>14</v>
      </c>
      <c r="X91" s="204" t="s">
        <v>15</v>
      </c>
      <c r="Y91" s="204" t="s">
        <v>16</v>
      </c>
      <c r="Z91" s="204" t="s">
        <v>44</v>
      </c>
      <c r="AA91" s="17"/>
    </row>
    <row r="92" spans="1:29" s="17" customFormat="1" ht="18.75" customHeight="1">
      <c r="A92" s="112"/>
      <c r="B92" s="299"/>
      <c r="C92" s="299"/>
      <c r="D92" s="299"/>
      <c r="E92" s="299"/>
      <c r="F92" s="299"/>
      <c r="G92" s="299"/>
      <c r="H92" s="299"/>
      <c r="I92" s="12"/>
      <c r="J92" s="105"/>
      <c r="K92" s="299"/>
      <c r="L92" s="299"/>
      <c r="M92" s="299"/>
      <c r="N92" s="12"/>
      <c r="O92" s="299"/>
      <c r="P92" s="299"/>
      <c r="Q92" s="299"/>
      <c r="T92" s="182" t="s">
        <v>9</v>
      </c>
      <c r="U92" s="182">
        <v>10</v>
      </c>
      <c r="V92" s="206" t="s">
        <v>87</v>
      </c>
      <c r="W92" s="275" t="s">
        <v>136</v>
      </c>
      <c r="X92" s="206" t="s">
        <v>137</v>
      </c>
      <c r="Y92" s="182" t="s">
        <v>138</v>
      </c>
      <c r="Z92" s="276">
        <f>(X92-V92)*24*2</f>
        <v>30.299999999930151</v>
      </c>
    </row>
    <row r="93" spans="1:29" s="17" customFormat="1" ht="21">
      <c r="A93" s="112"/>
      <c r="B93" s="120"/>
      <c r="C93" s="12"/>
      <c r="D93" s="120"/>
      <c r="E93" s="115"/>
      <c r="F93" s="116"/>
      <c r="G93" s="116"/>
      <c r="H93" s="116"/>
      <c r="I93" s="116"/>
      <c r="J93" s="117"/>
      <c r="K93" s="119"/>
      <c r="L93" s="115"/>
      <c r="M93" s="115"/>
      <c r="N93" s="116"/>
      <c r="O93" s="116"/>
      <c r="P93" s="115"/>
      <c r="Q93" s="109"/>
      <c r="T93" s="182" t="s">
        <v>9</v>
      </c>
      <c r="U93" s="182">
        <v>5</v>
      </c>
      <c r="V93" s="206" t="s">
        <v>161</v>
      </c>
      <c r="W93" s="275" t="s">
        <v>136</v>
      </c>
      <c r="X93" s="206" t="s">
        <v>200</v>
      </c>
      <c r="Y93" s="182" t="s">
        <v>138</v>
      </c>
      <c r="Z93" s="276">
        <f>(X93-V93)*24*2</f>
        <v>15</v>
      </c>
    </row>
    <row r="94" spans="1:29" s="17" customFormat="1" ht="18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8"/>
      <c r="L94" s="18"/>
      <c r="M94" s="18"/>
      <c r="N94" s="18"/>
      <c r="O94" s="18"/>
      <c r="P94" s="18"/>
      <c r="Q94" s="18"/>
      <c r="T94" s="182" t="s">
        <v>9</v>
      </c>
      <c r="U94" s="182">
        <v>4</v>
      </c>
      <c r="V94" s="206" t="s">
        <v>194</v>
      </c>
      <c r="W94" s="275" t="s">
        <v>136</v>
      </c>
      <c r="X94" s="206" t="s">
        <v>201</v>
      </c>
      <c r="Y94" s="182" t="s">
        <v>138</v>
      </c>
      <c r="Z94" s="276">
        <f>(X94-V94)*24*2</f>
        <v>2.9333333331160247</v>
      </c>
    </row>
    <row r="95" spans="1:29" s="17" customFormat="1" ht="17">
      <c r="A95" s="103"/>
      <c r="B95" s="103"/>
      <c r="E95" s="104"/>
      <c r="F95" s="104"/>
      <c r="T95" s="182" t="s">
        <v>9</v>
      </c>
      <c r="U95" s="182">
        <v>1</v>
      </c>
      <c r="V95" s="206" t="s">
        <v>208</v>
      </c>
      <c r="W95" s="275" t="s">
        <v>136</v>
      </c>
      <c r="X95" s="206" t="s">
        <v>219</v>
      </c>
      <c r="Y95" s="182" t="s">
        <v>138</v>
      </c>
      <c r="Z95" s="276">
        <f>(X95-V95)*24*2</f>
        <v>8.8333333334885538</v>
      </c>
    </row>
    <row r="96" spans="1:29" s="17" customFormat="1">
      <c r="A96" s="103"/>
      <c r="B96" s="103"/>
      <c r="E96" s="104"/>
      <c r="T96" s="128"/>
      <c r="U96" s="128"/>
      <c r="V96" s="129"/>
      <c r="W96" s="130"/>
      <c r="X96" s="129"/>
      <c r="Y96" s="128"/>
      <c r="Z96" s="131"/>
    </row>
    <row r="97" spans="1:30" s="17" customFormat="1">
      <c r="T97" s="128"/>
      <c r="U97" s="128"/>
      <c r="V97" s="129"/>
      <c r="W97" s="130"/>
      <c r="X97" s="129"/>
      <c r="Y97" s="128"/>
      <c r="Z97" s="131"/>
    </row>
    <row r="98" spans="1:30" s="17" customFormat="1" ht="18">
      <c r="T98" s="128"/>
      <c r="U98" s="128"/>
      <c r="V98" s="129"/>
      <c r="W98" s="130"/>
      <c r="X98" s="129"/>
      <c r="Y98" s="128"/>
      <c r="Z98" s="131"/>
      <c r="AB98" s="22"/>
    </row>
    <row r="99" spans="1:30" s="17" customFormat="1" ht="18">
      <c r="T99" s="128"/>
      <c r="U99" s="128"/>
      <c r="V99" s="129"/>
      <c r="W99" s="130"/>
      <c r="X99" s="129"/>
      <c r="Y99" s="128"/>
      <c r="Z99" s="131"/>
      <c r="AB99" s="18"/>
      <c r="AC99" s="18"/>
    </row>
    <row r="100" spans="1:30" ht="18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28"/>
      <c r="U100" s="128"/>
      <c r="V100" s="129"/>
      <c r="W100" s="130"/>
      <c r="X100" s="129"/>
      <c r="Y100" s="128"/>
      <c r="Z100" s="131"/>
      <c r="AB100" s="18"/>
      <c r="AC100" s="8"/>
      <c r="AD100" s="12"/>
    </row>
    <row r="101" spans="1:30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28"/>
      <c r="U101" s="128"/>
      <c r="V101" s="129"/>
      <c r="W101" s="130"/>
      <c r="X101" s="129"/>
      <c r="Y101" s="128"/>
      <c r="Z101" s="131"/>
      <c r="AB101" s="17"/>
      <c r="AC101" s="12"/>
      <c r="AD101" s="12"/>
    </row>
    <row r="102" spans="1:30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28"/>
      <c r="U102" s="128"/>
      <c r="V102" s="129"/>
      <c r="W102" s="130"/>
      <c r="X102" s="129"/>
      <c r="Y102" s="128"/>
      <c r="Z102" s="131"/>
      <c r="AB102" s="17"/>
      <c r="AC102" s="12"/>
      <c r="AD102" s="12"/>
    </row>
    <row r="103" spans="1:30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28"/>
      <c r="U103" s="128"/>
      <c r="V103" s="129"/>
      <c r="W103" s="130"/>
      <c r="X103" s="129"/>
      <c r="Y103" s="128"/>
      <c r="Z103" s="131"/>
      <c r="AB103" s="17"/>
      <c r="AC103" s="12"/>
      <c r="AD103" s="12"/>
    </row>
    <row r="104" spans="1:30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48"/>
      <c r="U104" s="48"/>
      <c r="V104" s="48"/>
      <c r="W104" s="17"/>
      <c r="X104" s="17"/>
      <c r="Y104" s="17"/>
      <c r="Z104" s="17"/>
      <c r="AB104" s="17"/>
      <c r="AC104" s="12"/>
      <c r="AD104" s="12"/>
    </row>
    <row r="105" spans="1:30" ht="18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300"/>
      <c r="P105" s="300"/>
      <c r="Q105" s="17"/>
      <c r="R105" s="17"/>
      <c r="S105" s="17"/>
      <c r="T105" s="202" t="s">
        <v>73</v>
      </c>
      <c r="U105" s="202"/>
      <c r="V105" s="202"/>
      <c r="W105" s="202"/>
      <c r="X105" s="12"/>
      <c r="Y105" s="12"/>
      <c r="Z105" s="12"/>
      <c r="AA105" s="17"/>
      <c r="AB105" s="17"/>
      <c r="AC105" s="12"/>
      <c r="AD105" s="12"/>
    </row>
    <row r="106" spans="1:30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203" t="s">
        <v>42</v>
      </c>
      <c r="U106" s="203" t="s">
        <v>43</v>
      </c>
      <c r="V106" s="203" t="s">
        <v>13</v>
      </c>
      <c r="W106" s="203" t="s">
        <v>14</v>
      </c>
      <c r="X106" s="203" t="s">
        <v>15</v>
      </c>
      <c r="Y106" s="203" t="s">
        <v>16</v>
      </c>
      <c r="Z106" s="203" t="s">
        <v>44</v>
      </c>
      <c r="AA106" s="17"/>
      <c r="AB106" s="17"/>
      <c r="AC106" s="12"/>
      <c r="AD106" s="12"/>
    </row>
    <row r="107" spans="1:30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28"/>
      <c r="U107" s="128"/>
      <c r="V107" s="129"/>
      <c r="W107" s="132"/>
      <c r="X107" s="129"/>
      <c r="Y107" s="132"/>
      <c r="Z107" s="131"/>
      <c r="AA107" s="17"/>
      <c r="AB107" s="17"/>
      <c r="AC107" s="12"/>
      <c r="AD107" s="12"/>
    </row>
    <row r="108" spans="1:30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33"/>
      <c r="U108" s="133"/>
      <c r="V108" s="129"/>
      <c r="W108" s="133"/>
      <c r="X108" s="129"/>
      <c r="Y108" s="133"/>
      <c r="Z108" s="134"/>
      <c r="AA108" s="17"/>
      <c r="AB108" s="17"/>
    </row>
    <row r="109" spans="1:30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33"/>
      <c r="U109" s="133"/>
      <c r="V109" s="129"/>
      <c r="W109" s="130"/>
      <c r="X109" s="129"/>
      <c r="Y109" s="133"/>
      <c r="Z109" s="134"/>
      <c r="AA109" s="17"/>
      <c r="AB109" s="17"/>
    </row>
    <row r="110" spans="1:3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28"/>
      <c r="U110" s="128"/>
      <c r="V110" s="129"/>
      <c r="W110" s="130"/>
      <c r="X110" s="129"/>
      <c r="Y110" s="133"/>
      <c r="Z110" s="134"/>
      <c r="AA110" s="17"/>
      <c r="AB110" s="17"/>
    </row>
    <row r="111" spans="1:30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28"/>
      <c r="U111" s="128"/>
      <c r="V111" s="129"/>
      <c r="W111" s="130"/>
      <c r="X111" s="129"/>
      <c r="Y111" s="135"/>
      <c r="Z111" s="134"/>
      <c r="AA111" s="17"/>
      <c r="AB111" s="17"/>
    </row>
    <row r="112" spans="1:30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297" t="s">
        <v>75</v>
      </c>
      <c r="U112" s="297"/>
      <c r="V112" s="297"/>
      <c r="W112" s="297"/>
      <c r="X112" s="297"/>
      <c r="Y112" s="297"/>
      <c r="Z112" s="297"/>
      <c r="AA112" s="17"/>
      <c r="AB112" s="17"/>
    </row>
    <row r="113" spans="1:28">
      <c r="A113" s="17"/>
      <c r="B113" s="17"/>
      <c r="C113" s="17"/>
      <c r="D113" s="17"/>
      <c r="E113" s="17"/>
      <c r="M113" s="17"/>
      <c r="N113" s="17"/>
      <c r="O113" s="17"/>
      <c r="P113" s="17"/>
      <c r="Q113" s="17"/>
      <c r="R113" s="17"/>
      <c r="S113" s="17"/>
      <c r="T113" s="133"/>
      <c r="U113" s="133"/>
      <c r="V113" s="129"/>
      <c r="W113" s="130"/>
      <c r="X113" s="129"/>
      <c r="Y113" s="133"/>
      <c r="Z113" s="136"/>
    </row>
    <row r="114" spans="1:28">
      <c r="A114" s="17"/>
      <c r="B114" s="17"/>
      <c r="C114" s="17"/>
      <c r="D114" s="17"/>
      <c r="E114" s="17"/>
      <c r="M114" s="17"/>
      <c r="N114" s="17"/>
      <c r="O114" s="17"/>
      <c r="P114" s="17"/>
      <c r="Q114" s="17"/>
      <c r="R114" s="17"/>
      <c r="S114" s="17"/>
      <c r="T114" s="133"/>
      <c r="U114" s="133"/>
      <c r="V114" s="129"/>
      <c r="W114" s="130"/>
      <c r="X114" s="129"/>
      <c r="Y114" s="133"/>
      <c r="Z114" s="136"/>
    </row>
    <row r="115" spans="1:28">
      <c r="A115" s="17"/>
      <c r="B115" s="17"/>
      <c r="C115" s="17"/>
      <c r="D115" s="17"/>
      <c r="E115" s="17"/>
      <c r="M115" s="17"/>
      <c r="N115" s="17"/>
      <c r="O115" s="17"/>
      <c r="P115" s="17"/>
      <c r="Q115" s="17"/>
      <c r="R115" s="17"/>
      <c r="S115" s="17"/>
    </row>
    <row r="116" spans="1:28">
      <c r="A116" s="17"/>
      <c r="B116" s="17"/>
      <c r="C116" s="17"/>
      <c r="D116" s="17"/>
      <c r="E116" s="17"/>
      <c r="M116" s="17"/>
      <c r="N116" s="17"/>
      <c r="O116" s="17"/>
      <c r="P116" s="17"/>
      <c r="Q116" s="17"/>
      <c r="R116" s="17"/>
      <c r="S116" s="17"/>
      <c r="V116" s="49">
        <f>DATE(2026,3,1)</f>
        <v>46082</v>
      </c>
      <c r="W116" s="24"/>
      <c r="X116" s="25">
        <f>DATE(2026,1,1)</f>
        <v>46023</v>
      </c>
      <c r="Y116" s="26" t="s">
        <v>50</v>
      </c>
    </row>
    <row r="117" spans="1:28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V117" s="50"/>
      <c r="W117" s="24"/>
      <c r="X117" s="25">
        <f>DATE(2026,2,1)</f>
        <v>46054</v>
      </c>
      <c r="Y117" s="26" t="s">
        <v>49</v>
      </c>
    </row>
    <row r="118" spans="1:2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V118" s="50"/>
      <c r="W118" s="24"/>
      <c r="X118" s="25">
        <f>DATE(2026,3,1)</f>
        <v>46082</v>
      </c>
      <c r="Y118" s="26" t="s">
        <v>48</v>
      </c>
    </row>
    <row r="119" spans="1:28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V119" s="50"/>
      <c r="W119" s="24"/>
      <c r="X119" s="25">
        <f>DATE(2026,4,1)</f>
        <v>46113</v>
      </c>
      <c r="Y119" s="26" t="s">
        <v>25</v>
      </c>
      <c r="AA119" s="29"/>
      <c r="AB119" s="29"/>
    </row>
    <row r="120" spans="1:28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48"/>
      <c r="U120" s="48"/>
      <c r="V120" s="50"/>
      <c r="W120" s="24"/>
      <c r="X120" s="25">
        <f>DATE(2026,5,1)</f>
        <v>46143</v>
      </c>
      <c r="Y120" s="26" t="s">
        <v>26</v>
      </c>
      <c r="Z120" s="17"/>
      <c r="AA120" s="29"/>
    </row>
    <row r="121" spans="1:28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48"/>
      <c r="U121" s="48"/>
      <c r="V121" s="50"/>
      <c r="W121" s="24"/>
      <c r="X121" s="25">
        <f>DATE(2026,6,1)</f>
        <v>46174</v>
      </c>
      <c r="Y121" s="26" t="s">
        <v>56</v>
      </c>
      <c r="Z121" s="17"/>
      <c r="AA121" s="29"/>
    </row>
    <row r="122" spans="1:28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V122" s="50"/>
      <c r="W122" s="24"/>
      <c r="X122" s="25">
        <f>DATE(2026,7,1)</f>
        <v>46204</v>
      </c>
      <c r="Y122" s="26" t="s">
        <v>27</v>
      </c>
      <c r="AB122" s="29"/>
    </row>
    <row r="123" spans="1:28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V123" s="50"/>
      <c r="W123" s="24"/>
      <c r="X123" s="25">
        <f>DATE(2026,8,1)</f>
        <v>46235</v>
      </c>
      <c r="Y123" s="26" t="s">
        <v>28</v>
      </c>
    </row>
    <row r="124" spans="1:28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V124" s="50"/>
      <c r="W124" s="24"/>
      <c r="X124" s="25">
        <f>DATE(2026,9,1)</f>
        <v>46266</v>
      </c>
      <c r="Y124" s="26" t="s">
        <v>29</v>
      </c>
    </row>
    <row r="125" spans="1:28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V125" s="50"/>
      <c r="W125" s="24"/>
      <c r="X125" s="25">
        <f>DATE(2026,10,1)</f>
        <v>46296</v>
      </c>
      <c r="Y125" s="26" t="s">
        <v>30</v>
      </c>
    </row>
    <row r="126" spans="1:28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V126" s="50"/>
      <c r="W126" s="24"/>
      <c r="X126" s="25">
        <f>DATE(2026,11,1)</f>
        <v>46327</v>
      </c>
      <c r="Y126" s="26" t="s">
        <v>24</v>
      </c>
    </row>
    <row r="127" spans="1:28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V127" s="50"/>
      <c r="W127" s="24"/>
      <c r="X127" s="25">
        <f>DATE(2026,12,1)</f>
        <v>46357</v>
      </c>
      <c r="Y127" s="26" t="s">
        <v>31</v>
      </c>
    </row>
    <row r="128" spans="1: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</row>
    <row r="129" spans="1:1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</row>
    <row r="130" spans="1:19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</row>
    <row r="131" spans="1:19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</row>
    <row r="132" spans="1:19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</row>
    <row r="133" spans="1:19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</row>
    <row r="134" spans="1:19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</row>
    <row r="135" spans="1:19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</row>
    <row r="136" spans="1:19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</row>
    <row r="137" spans="1:19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</row>
    <row r="138" spans="1:19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</row>
    <row r="155" spans="15:16" ht="18">
      <c r="O155" s="301"/>
      <c r="P155" s="301"/>
    </row>
    <row r="165" spans="15:16">
      <c r="O165" s="298"/>
      <c r="P165" s="298"/>
    </row>
  </sheetData>
  <mergeCells count="28">
    <mergeCell ref="S7:T7"/>
    <mergeCell ref="A11:G11"/>
    <mergeCell ref="H11:L11"/>
    <mergeCell ref="A3:Q3"/>
    <mergeCell ref="A5:C5"/>
    <mergeCell ref="E5:Q5"/>
    <mergeCell ref="E6:F6"/>
    <mergeCell ref="J6:K6"/>
    <mergeCell ref="A7:C7"/>
    <mergeCell ref="E7:Q7"/>
    <mergeCell ref="E8:F8"/>
    <mergeCell ref="J8:K8"/>
    <mergeCell ref="G9:H9"/>
    <mergeCell ref="C10:E10"/>
    <mergeCell ref="G10:H10"/>
    <mergeCell ref="O49:P49"/>
    <mergeCell ref="A75:Q75"/>
    <mergeCell ref="A77:Q77"/>
    <mergeCell ref="T90:Z90"/>
    <mergeCell ref="B90:H90"/>
    <mergeCell ref="O90:Q90"/>
    <mergeCell ref="T112:Z112"/>
    <mergeCell ref="O165:P165"/>
    <mergeCell ref="B92:H92"/>
    <mergeCell ref="K92:M92"/>
    <mergeCell ref="O92:Q92"/>
    <mergeCell ref="O105:P105"/>
    <mergeCell ref="O155:P155"/>
  </mergeCells>
  <phoneticPr fontId="76" type="noConversion"/>
  <conditionalFormatting sqref="K1:K1048576">
    <cfRule type="duplicateValues" dxfId="0" priority="1"/>
  </conditionalFormatting>
  <printOptions horizontalCentered="1" verticalCentered="1"/>
  <pageMargins left="0" right="0" top="0" bottom="0" header="0" footer="0"/>
  <pageSetup paperSize="9" scale="44" fitToHeight="0" orientation="landscape" r:id="rId1"/>
  <rowBreaks count="1" manualBreakCount="1">
    <brk id="49" max="16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7"/>
  <sheetViews>
    <sheetView showGridLines="0" workbookViewId="0">
      <selection activeCell="C31" sqref="C31"/>
    </sheetView>
  </sheetViews>
  <sheetFormatPr baseColWidth="10" defaultColWidth="9.1640625" defaultRowHeight="15"/>
  <cols>
    <col min="1" max="1" width="12.5" style="282" bestFit="1" customWidth="1"/>
    <col min="2" max="2" width="16" style="282" bestFit="1" customWidth="1"/>
    <col min="3" max="3" width="12.1640625" style="282" bestFit="1" customWidth="1"/>
    <col min="4" max="4" width="7.5" style="282" customWidth="1"/>
    <col min="5" max="5" width="12.1640625" style="282" customWidth="1"/>
    <col min="6" max="6" width="6" style="282" customWidth="1"/>
    <col min="7" max="7" width="6.33203125" style="282" customWidth="1"/>
    <col min="8" max="8" width="15.1640625" style="282" bestFit="1" customWidth="1"/>
    <col min="9" max="9" width="18.1640625" style="282" bestFit="1" customWidth="1"/>
    <col min="10" max="10" width="36.5" style="282" bestFit="1" customWidth="1"/>
    <col min="11" max="11" width="6.33203125" style="282" customWidth="1"/>
    <col min="12" max="12" width="16.33203125" style="282" bestFit="1" customWidth="1"/>
    <col min="13" max="13" width="22.33203125" style="282" bestFit="1" customWidth="1"/>
    <col min="14" max="16384" width="9.1640625" style="282"/>
  </cols>
  <sheetData>
    <row r="1" spans="1:13">
      <c r="A1" s="326" t="s">
        <v>221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326"/>
    </row>
    <row r="2" spans="1:13">
      <c r="A2" s="319" t="s">
        <v>222</v>
      </c>
      <c r="B2" s="319"/>
      <c r="C2" s="319"/>
      <c r="D2" s="319"/>
      <c r="E2" s="319"/>
      <c r="F2" s="319"/>
      <c r="G2" s="319"/>
      <c r="H2" s="319"/>
      <c r="I2" s="319"/>
      <c r="J2" s="319"/>
      <c r="K2" s="319"/>
      <c r="L2" s="319"/>
    </row>
    <row r="3" spans="1:13">
      <c r="A3" s="319" t="s">
        <v>223</v>
      </c>
      <c r="B3" s="319"/>
      <c r="C3" s="319"/>
      <c r="D3" s="319"/>
      <c r="E3" s="319"/>
      <c r="F3" s="319"/>
      <c r="G3" s="319"/>
      <c r="H3" s="319"/>
      <c r="I3" s="319"/>
      <c r="J3" s="319"/>
      <c r="K3" s="319"/>
      <c r="L3" s="319"/>
    </row>
    <row r="4" spans="1:13">
      <c r="A4" s="319" t="s">
        <v>224</v>
      </c>
      <c r="B4" s="319"/>
      <c r="C4" s="319"/>
      <c r="D4" s="319"/>
      <c r="E4" s="319"/>
      <c r="F4" s="319"/>
      <c r="G4" s="319"/>
      <c r="H4" s="319"/>
      <c r="I4" s="319"/>
      <c r="J4" s="319"/>
      <c r="K4" s="319"/>
      <c r="L4" s="319"/>
    </row>
    <row r="5" spans="1:13">
      <c r="A5" s="319" t="s">
        <v>225</v>
      </c>
      <c r="B5" s="319"/>
      <c r="C5" s="319"/>
      <c r="D5" s="319"/>
      <c r="E5" s="319"/>
      <c r="F5" s="319"/>
      <c r="G5" s="319"/>
      <c r="H5" s="319"/>
      <c r="I5" s="319"/>
      <c r="J5" s="319"/>
      <c r="K5" s="319"/>
      <c r="L5" s="319"/>
    </row>
    <row r="6" spans="1:13">
      <c r="A6" s="319" t="s">
        <v>226</v>
      </c>
      <c r="B6" s="319"/>
      <c r="C6" s="319"/>
      <c r="D6" s="319"/>
      <c r="E6" s="319"/>
      <c r="F6" s="319"/>
      <c r="G6" s="319"/>
      <c r="H6" s="319"/>
      <c r="I6" s="319"/>
      <c r="J6" s="319"/>
      <c r="K6" s="319"/>
      <c r="L6" s="319"/>
    </row>
    <row r="7" spans="1:13">
      <c r="A7" s="319" t="s">
        <v>227</v>
      </c>
      <c r="B7" s="319"/>
      <c r="C7" s="319"/>
      <c r="D7" s="319"/>
      <c r="E7" s="319"/>
      <c r="F7" s="319"/>
      <c r="G7" s="319"/>
      <c r="H7" s="319"/>
      <c r="I7" s="319"/>
      <c r="J7" s="319"/>
      <c r="K7" s="319"/>
      <c r="L7" s="319"/>
    </row>
    <row r="8" spans="1:13">
      <c r="A8" s="319" t="s">
        <v>228</v>
      </c>
      <c r="B8" s="319"/>
      <c r="C8" s="319"/>
      <c r="D8" s="319"/>
      <c r="E8" s="319"/>
      <c r="F8" s="319"/>
      <c r="G8" s="319"/>
      <c r="H8" s="319"/>
      <c r="I8" s="319"/>
      <c r="J8" s="319"/>
      <c r="K8" s="319"/>
      <c r="L8" s="319"/>
    </row>
    <row r="9" spans="1:13">
      <c r="A9" s="319" t="s">
        <v>229</v>
      </c>
      <c r="B9" s="319"/>
      <c r="C9" s="319"/>
      <c r="D9" s="319"/>
      <c r="E9" s="319"/>
      <c r="F9" s="319"/>
      <c r="G9" s="319"/>
      <c r="H9" s="319"/>
      <c r="I9" s="319"/>
      <c r="J9" s="319"/>
      <c r="K9" s="319"/>
      <c r="L9" s="319"/>
    </row>
    <row r="10" spans="1:13">
      <c r="A10" s="319" t="s">
        <v>230</v>
      </c>
      <c r="B10" s="319"/>
      <c r="C10" s="319"/>
      <c r="D10" s="319"/>
      <c r="E10" s="319"/>
      <c r="F10" s="319"/>
      <c r="G10" s="319"/>
      <c r="H10" s="319"/>
      <c r="I10" s="319"/>
      <c r="J10" s="319"/>
      <c r="K10" s="319"/>
      <c r="L10" s="319"/>
    </row>
    <row r="11" spans="1:13">
      <c r="A11" s="319" t="s">
        <v>231</v>
      </c>
      <c r="B11" s="319"/>
      <c r="C11" s="319"/>
      <c r="D11" s="319"/>
      <c r="E11" s="319"/>
      <c r="F11" s="319"/>
      <c r="G11" s="319"/>
      <c r="H11" s="319"/>
      <c r="I11" s="319"/>
      <c r="J11" s="319"/>
      <c r="K11" s="319"/>
      <c r="L11" s="319"/>
    </row>
    <row r="12" spans="1:13">
      <c r="A12" s="319" t="s">
        <v>232</v>
      </c>
      <c r="B12" s="319"/>
      <c r="C12" s="319"/>
      <c r="D12" s="319"/>
      <c r="E12" s="319"/>
      <c r="F12" s="319"/>
      <c r="G12" s="319"/>
      <c r="H12" s="319"/>
      <c r="I12" s="319"/>
      <c r="J12" s="319"/>
      <c r="K12" s="319"/>
      <c r="L12" s="319"/>
    </row>
    <row r="13" spans="1:13">
      <c r="A13" s="319"/>
      <c r="B13" s="319"/>
      <c r="C13" s="319"/>
      <c r="D13" s="319"/>
      <c r="E13" s="319"/>
      <c r="F13" s="319"/>
      <c r="G13" s="319"/>
      <c r="H13" s="319"/>
      <c r="I13" s="319"/>
      <c r="J13" s="319"/>
      <c r="K13" s="319"/>
      <c r="L13" s="319"/>
    </row>
    <row r="14" spans="1:13" ht="15" customHeight="1">
      <c r="A14" s="320" t="s">
        <v>233</v>
      </c>
      <c r="B14" s="321"/>
      <c r="C14" s="321"/>
      <c r="D14" s="321"/>
      <c r="E14" s="321"/>
      <c r="F14" s="321"/>
      <c r="G14" s="321"/>
      <c r="H14" s="321"/>
      <c r="I14" s="321"/>
      <c r="J14" s="321"/>
      <c r="K14" s="321"/>
      <c r="L14" s="321"/>
      <c r="M14" s="322"/>
    </row>
    <row r="15" spans="1:13" ht="15" customHeight="1">
      <c r="A15" s="283" t="s">
        <v>234</v>
      </c>
      <c r="B15" s="283" t="s">
        <v>235</v>
      </c>
      <c r="C15" s="283" t="s">
        <v>42</v>
      </c>
      <c r="D15" s="283" t="s">
        <v>43</v>
      </c>
      <c r="E15" s="323" t="s">
        <v>236</v>
      </c>
      <c r="F15" s="324"/>
      <c r="G15" s="323" t="s">
        <v>237</v>
      </c>
      <c r="H15" s="325"/>
      <c r="I15" s="325"/>
      <c r="J15" s="324"/>
      <c r="K15" s="323" t="s">
        <v>237</v>
      </c>
      <c r="L15" s="325"/>
      <c r="M15" s="324"/>
    </row>
    <row r="16" spans="1:13" ht="15" customHeight="1">
      <c r="A16" s="284" t="s">
        <v>238</v>
      </c>
      <c r="B16" s="284" t="s">
        <v>239</v>
      </c>
      <c r="C16" s="284" t="s">
        <v>240</v>
      </c>
      <c r="D16" s="284" t="s">
        <v>241</v>
      </c>
      <c r="E16" s="316" t="s">
        <v>242</v>
      </c>
      <c r="F16" s="317"/>
      <c r="G16" s="316" t="s">
        <v>243</v>
      </c>
      <c r="H16" s="318"/>
      <c r="I16" s="318"/>
      <c r="J16" s="317"/>
      <c r="K16" s="316" t="s">
        <v>244</v>
      </c>
      <c r="L16" s="318"/>
      <c r="M16" s="317"/>
    </row>
    <row r="17" spans="1:13" ht="15" customHeight="1">
      <c r="A17" s="284" t="s">
        <v>239</v>
      </c>
      <c r="B17" s="284" t="s">
        <v>240</v>
      </c>
      <c r="C17" s="284"/>
      <c r="D17" s="284"/>
      <c r="E17" s="314" t="s">
        <v>245</v>
      </c>
      <c r="F17" s="314" t="s">
        <v>246</v>
      </c>
      <c r="G17" s="314" t="s">
        <v>247</v>
      </c>
      <c r="H17" s="283" t="s">
        <v>248</v>
      </c>
      <c r="I17" s="283" t="s">
        <v>248</v>
      </c>
      <c r="J17" s="314" t="s">
        <v>249</v>
      </c>
      <c r="K17" s="314" t="s">
        <v>247</v>
      </c>
      <c r="L17" s="283" t="s">
        <v>250</v>
      </c>
      <c r="M17" s="283" t="s">
        <v>250</v>
      </c>
    </row>
    <row r="18" spans="1:13" ht="16">
      <c r="A18" s="285"/>
      <c r="B18" s="285"/>
      <c r="C18" s="285"/>
      <c r="D18" s="285"/>
      <c r="E18" s="315"/>
      <c r="F18" s="315"/>
      <c r="G18" s="315"/>
      <c r="H18" s="285" t="s">
        <v>251</v>
      </c>
      <c r="I18" s="285" t="s">
        <v>252</v>
      </c>
      <c r="J18" s="315"/>
      <c r="K18" s="315"/>
      <c r="L18" s="285" t="s">
        <v>253</v>
      </c>
      <c r="M18" s="285" t="s">
        <v>254</v>
      </c>
    </row>
    <row r="19" spans="1:13">
      <c r="A19" s="286">
        <v>1</v>
      </c>
      <c r="B19" s="286">
        <v>2</v>
      </c>
      <c r="C19" s="286">
        <v>3</v>
      </c>
      <c r="D19" s="286">
        <v>4</v>
      </c>
      <c r="E19" s="286">
        <v>5</v>
      </c>
      <c r="F19" s="286">
        <v>6</v>
      </c>
      <c r="G19" s="286">
        <v>7</v>
      </c>
      <c r="H19" s="286">
        <v>8</v>
      </c>
      <c r="I19" s="286">
        <v>9</v>
      </c>
      <c r="J19" s="286">
        <v>10</v>
      </c>
      <c r="K19" s="286">
        <v>11</v>
      </c>
      <c r="L19" s="286">
        <v>12</v>
      </c>
      <c r="M19" s="286">
        <v>13</v>
      </c>
    </row>
    <row r="20" spans="1:13" ht="16">
      <c r="A20" s="287" t="s">
        <v>255</v>
      </c>
      <c r="B20" s="287" t="s">
        <v>256</v>
      </c>
      <c r="C20" s="287" t="s">
        <v>9</v>
      </c>
      <c r="D20" s="287" t="s">
        <v>257</v>
      </c>
      <c r="E20" s="287">
        <v>19398</v>
      </c>
      <c r="F20" s="287">
        <v>700</v>
      </c>
      <c r="G20" s="287">
        <v>700</v>
      </c>
      <c r="H20" s="287">
        <v>519</v>
      </c>
      <c r="I20" s="287">
        <v>62</v>
      </c>
      <c r="J20" s="287">
        <v>20</v>
      </c>
      <c r="K20" s="287">
        <v>44</v>
      </c>
      <c r="L20" s="287">
        <v>0</v>
      </c>
      <c r="M20" s="287">
        <v>27</v>
      </c>
    </row>
    <row r="21" spans="1:13" ht="16">
      <c r="A21" s="287" t="s">
        <v>255</v>
      </c>
      <c r="B21" s="287" t="s">
        <v>256</v>
      </c>
      <c r="C21" s="287" t="s">
        <v>9</v>
      </c>
      <c r="D21" s="287" t="s">
        <v>258</v>
      </c>
      <c r="E21" s="287">
        <v>19398</v>
      </c>
      <c r="F21" s="287">
        <v>700</v>
      </c>
      <c r="G21" s="287">
        <v>700</v>
      </c>
      <c r="H21" s="287">
        <v>519</v>
      </c>
      <c r="I21" s="287">
        <v>62</v>
      </c>
      <c r="J21" s="287">
        <v>20</v>
      </c>
      <c r="K21" s="287">
        <v>44</v>
      </c>
      <c r="L21" s="287">
        <v>0</v>
      </c>
      <c r="M21" s="287">
        <v>27</v>
      </c>
    </row>
    <row r="22" spans="1:13" ht="16">
      <c r="A22" s="287" t="s">
        <v>255</v>
      </c>
      <c r="B22" s="287" t="s">
        <v>256</v>
      </c>
      <c r="C22" s="287" t="s">
        <v>9</v>
      </c>
      <c r="D22" s="287" t="s">
        <v>259</v>
      </c>
      <c r="E22" s="287">
        <v>21661</v>
      </c>
      <c r="F22" s="287">
        <v>744</v>
      </c>
      <c r="G22" s="287">
        <v>744</v>
      </c>
      <c r="H22" s="287">
        <v>586</v>
      </c>
      <c r="I22" s="287">
        <v>54</v>
      </c>
      <c r="J22" s="287">
        <v>19</v>
      </c>
      <c r="K22" s="287">
        <v>0</v>
      </c>
      <c r="L22" s="287">
        <v>0</v>
      </c>
      <c r="M22" s="287">
        <v>0</v>
      </c>
    </row>
    <row r="23" spans="1:13" ht="16">
      <c r="A23" s="287" t="s">
        <v>255</v>
      </c>
      <c r="B23" s="287" t="s">
        <v>256</v>
      </c>
      <c r="C23" s="287" t="s">
        <v>9</v>
      </c>
      <c r="D23" s="287" t="s">
        <v>260</v>
      </c>
      <c r="E23" s="287">
        <v>21661</v>
      </c>
      <c r="F23" s="287">
        <v>744</v>
      </c>
      <c r="G23" s="287">
        <v>744</v>
      </c>
      <c r="H23" s="287">
        <v>586</v>
      </c>
      <c r="I23" s="287">
        <v>54</v>
      </c>
      <c r="J23" s="287">
        <v>19</v>
      </c>
      <c r="K23" s="287">
        <v>0</v>
      </c>
      <c r="L23" s="287">
        <v>0</v>
      </c>
      <c r="M23" s="287">
        <v>0</v>
      </c>
    </row>
    <row r="24" spans="1:13" ht="16">
      <c r="A24" s="287" t="s">
        <v>255</v>
      </c>
      <c r="B24" s="287" t="s">
        <v>256</v>
      </c>
      <c r="C24" s="287" t="s">
        <v>9</v>
      </c>
      <c r="D24" s="287" t="s">
        <v>261</v>
      </c>
      <c r="E24" s="287">
        <v>18798</v>
      </c>
      <c r="F24" s="287">
        <v>652</v>
      </c>
      <c r="G24" s="287">
        <v>652</v>
      </c>
      <c r="H24" s="287">
        <v>518</v>
      </c>
      <c r="I24" s="287">
        <v>59</v>
      </c>
      <c r="J24" s="287">
        <v>9</v>
      </c>
      <c r="K24" s="287">
        <v>92</v>
      </c>
      <c r="L24" s="287">
        <v>76</v>
      </c>
      <c r="M24" s="287">
        <v>0</v>
      </c>
    </row>
    <row r="25" spans="1:13" ht="16">
      <c r="A25" s="287" t="s">
        <v>255</v>
      </c>
      <c r="B25" s="287" t="s">
        <v>256</v>
      </c>
      <c r="C25" s="287" t="s">
        <v>9</v>
      </c>
      <c r="D25" s="287" t="s">
        <v>262</v>
      </c>
      <c r="E25" s="287">
        <v>18798</v>
      </c>
      <c r="F25" s="287">
        <v>652</v>
      </c>
      <c r="G25" s="287">
        <v>652</v>
      </c>
      <c r="H25" s="287">
        <v>518</v>
      </c>
      <c r="I25" s="287">
        <v>59</v>
      </c>
      <c r="J25" s="287">
        <v>9</v>
      </c>
      <c r="K25" s="287">
        <v>92</v>
      </c>
      <c r="L25" s="287">
        <v>76</v>
      </c>
      <c r="M25" s="287">
        <v>0</v>
      </c>
    </row>
    <row r="26" spans="1:13" ht="16">
      <c r="A26" s="287" t="s">
        <v>255</v>
      </c>
      <c r="B26" s="287" t="s">
        <v>256</v>
      </c>
      <c r="C26" s="287" t="s">
        <v>9</v>
      </c>
      <c r="D26" s="287" t="s">
        <v>263</v>
      </c>
      <c r="E26" s="287">
        <v>20347</v>
      </c>
      <c r="F26" s="287">
        <v>691</v>
      </c>
      <c r="G26" s="287">
        <v>691</v>
      </c>
      <c r="H26" s="287">
        <v>537</v>
      </c>
      <c r="I26" s="287">
        <v>49</v>
      </c>
      <c r="J26" s="287">
        <v>21</v>
      </c>
      <c r="K26" s="287">
        <v>53</v>
      </c>
      <c r="L26" s="287">
        <v>0</v>
      </c>
      <c r="M26" s="287">
        <v>53</v>
      </c>
    </row>
    <row r="27" spans="1:13" ht="16">
      <c r="A27" s="287" t="s">
        <v>255</v>
      </c>
      <c r="B27" s="287" t="s">
        <v>256</v>
      </c>
      <c r="C27" s="287" t="s">
        <v>9</v>
      </c>
      <c r="D27" s="287" t="s">
        <v>264</v>
      </c>
      <c r="E27" s="287">
        <v>20347</v>
      </c>
      <c r="F27" s="287">
        <v>691</v>
      </c>
      <c r="G27" s="287">
        <v>691</v>
      </c>
      <c r="H27" s="287">
        <v>537</v>
      </c>
      <c r="I27" s="287">
        <v>49</v>
      </c>
      <c r="J27" s="287">
        <v>21</v>
      </c>
      <c r="K27" s="287">
        <v>53</v>
      </c>
      <c r="L27" s="287">
        <v>0</v>
      </c>
      <c r="M27" s="287">
        <v>53</v>
      </c>
    </row>
    <row r="28" spans="1:13" ht="16">
      <c r="A28" s="287" t="s">
        <v>255</v>
      </c>
      <c r="B28" s="287" t="s">
        <v>256</v>
      </c>
      <c r="C28" s="287" t="s">
        <v>9</v>
      </c>
      <c r="D28" s="287" t="s">
        <v>265</v>
      </c>
      <c r="E28" s="287">
        <v>19522</v>
      </c>
      <c r="F28" s="287">
        <v>662</v>
      </c>
      <c r="G28" s="287">
        <v>662</v>
      </c>
      <c r="H28" s="287">
        <v>512</v>
      </c>
      <c r="I28" s="287">
        <v>56</v>
      </c>
      <c r="J28" s="287">
        <v>16</v>
      </c>
      <c r="K28" s="287">
        <v>82</v>
      </c>
      <c r="L28" s="287">
        <v>0</v>
      </c>
      <c r="M28" s="287">
        <v>9</v>
      </c>
    </row>
    <row r="29" spans="1:13" ht="16">
      <c r="A29" s="287" t="s">
        <v>255</v>
      </c>
      <c r="B29" s="287" t="s">
        <v>256</v>
      </c>
      <c r="C29" s="287" t="s">
        <v>9</v>
      </c>
      <c r="D29" s="287" t="s">
        <v>266</v>
      </c>
      <c r="E29" s="287">
        <v>19522</v>
      </c>
      <c r="F29" s="287">
        <v>662</v>
      </c>
      <c r="G29" s="287">
        <v>662</v>
      </c>
      <c r="H29" s="287">
        <v>512</v>
      </c>
      <c r="I29" s="287">
        <v>56</v>
      </c>
      <c r="J29" s="287">
        <v>16</v>
      </c>
      <c r="K29" s="287">
        <v>82</v>
      </c>
      <c r="L29" s="287">
        <v>0</v>
      </c>
      <c r="M29" s="287">
        <v>9</v>
      </c>
    </row>
    <row r="30" spans="1:13" ht="16">
      <c r="A30" s="287" t="s">
        <v>255</v>
      </c>
      <c r="B30" s="287" t="s">
        <v>256</v>
      </c>
      <c r="C30" s="287" t="s">
        <v>9</v>
      </c>
      <c r="D30" s="287" t="s">
        <v>267</v>
      </c>
      <c r="E30" s="287">
        <v>15796</v>
      </c>
      <c r="F30" s="287">
        <v>624</v>
      </c>
      <c r="G30" s="287">
        <v>624</v>
      </c>
      <c r="H30" s="287">
        <v>459</v>
      </c>
      <c r="I30" s="287">
        <v>78</v>
      </c>
      <c r="J30" s="287">
        <v>17</v>
      </c>
      <c r="K30" s="287">
        <v>120</v>
      </c>
      <c r="L30" s="287">
        <v>0</v>
      </c>
      <c r="M30" s="287">
        <v>120</v>
      </c>
    </row>
    <row r="31" spans="1:13" ht="16">
      <c r="A31" s="287" t="s">
        <v>255</v>
      </c>
      <c r="B31" s="287" t="s">
        <v>256</v>
      </c>
      <c r="C31" s="287" t="s">
        <v>9</v>
      </c>
      <c r="D31" s="287" t="s">
        <v>268</v>
      </c>
      <c r="E31" s="287">
        <v>15796</v>
      </c>
      <c r="F31" s="287">
        <v>624</v>
      </c>
      <c r="G31" s="287">
        <v>624</v>
      </c>
      <c r="H31" s="287">
        <v>459</v>
      </c>
      <c r="I31" s="287">
        <v>78</v>
      </c>
      <c r="J31" s="287">
        <v>17</v>
      </c>
      <c r="K31" s="287">
        <v>120</v>
      </c>
      <c r="L31" s="287">
        <v>0</v>
      </c>
      <c r="M31" s="287">
        <v>120</v>
      </c>
    </row>
    <row r="32" spans="1:13" ht="16">
      <c r="A32" s="287" t="s">
        <v>255</v>
      </c>
      <c r="B32" s="287" t="s">
        <v>256</v>
      </c>
      <c r="C32" s="287" t="s">
        <v>9</v>
      </c>
      <c r="D32" s="287" t="s">
        <v>269</v>
      </c>
      <c r="E32" s="287">
        <v>18947</v>
      </c>
      <c r="F32" s="287">
        <v>687</v>
      </c>
      <c r="G32" s="287">
        <v>687</v>
      </c>
      <c r="H32" s="287">
        <v>521</v>
      </c>
      <c r="I32" s="287">
        <v>48</v>
      </c>
      <c r="J32" s="287">
        <v>26</v>
      </c>
      <c r="K32" s="287">
        <v>57</v>
      </c>
      <c r="L32" s="287">
        <v>7</v>
      </c>
      <c r="M32" s="287">
        <v>29</v>
      </c>
    </row>
    <row r="33" spans="1:13" ht="16">
      <c r="A33" s="287" t="s">
        <v>255</v>
      </c>
      <c r="B33" s="287" t="s">
        <v>256</v>
      </c>
      <c r="C33" s="287" t="s">
        <v>9</v>
      </c>
      <c r="D33" s="287" t="s">
        <v>270</v>
      </c>
      <c r="E33" s="287">
        <v>18947</v>
      </c>
      <c r="F33" s="287">
        <v>687</v>
      </c>
      <c r="G33" s="287">
        <v>687</v>
      </c>
      <c r="H33" s="287">
        <v>521</v>
      </c>
      <c r="I33" s="287">
        <v>48</v>
      </c>
      <c r="J33" s="287">
        <v>26</v>
      </c>
      <c r="K33" s="287">
        <v>57</v>
      </c>
      <c r="L33" s="287">
        <v>7</v>
      </c>
      <c r="M33" s="287">
        <v>29</v>
      </c>
    </row>
    <row r="34" spans="1:13" ht="16">
      <c r="A34" s="287" t="s">
        <v>255</v>
      </c>
      <c r="B34" s="287" t="s">
        <v>256</v>
      </c>
      <c r="C34" s="287" t="s">
        <v>9</v>
      </c>
      <c r="D34" s="287" t="s">
        <v>271</v>
      </c>
      <c r="E34" s="287">
        <v>17585</v>
      </c>
      <c r="F34" s="287">
        <v>635</v>
      </c>
      <c r="G34" s="287">
        <v>635</v>
      </c>
      <c r="H34" s="287">
        <v>479</v>
      </c>
      <c r="I34" s="287">
        <v>59</v>
      </c>
      <c r="J34" s="287">
        <v>15</v>
      </c>
      <c r="K34" s="287">
        <v>109</v>
      </c>
      <c r="L34" s="287">
        <v>0</v>
      </c>
      <c r="M34" s="287">
        <v>109</v>
      </c>
    </row>
    <row r="35" spans="1:13" ht="16">
      <c r="A35" s="287" t="s">
        <v>255</v>
      </c>
      <c r="B35" s="287" t="s">
        <v>256</v>
      </c>
      <c r="C35" s="287" t="s">
        <v>9</v>
      </c>
      <c r="D35" s="287" t="s">
        <v>272</v>
      </c>
      <c r="E35" s="287">
        <v>17585</v>
      </c>
      <c r="F35" s="287">
        <v>635</v>
      </c>
      <c r="G35" s="287">
        <v>635</v>
      </c>
      <c r="H35" s="287">
        <v>479</v>
      </c>
      <c r="I35" s="287">
        <v>59</v>
      </c>
      <c r="J35" s="287">
        <v>15</v>
      </c>
      <c r="K35" s="287">
        <v>109</v>
      </c>
      <c r="L35" s="287">
        <v>0</v>
      </c>
      <c r="M35" s="287">
        <v>109</v>
      </c>
    </row>
    <row r="36" spans="1:13" ht="16">
      <c r="A36" s="287" t="s">
        <v>255</v>
      </c>
      <c r="B36" s="287" t="s">
        <v>256</v>
      </c>
      <c r="C36" s="287" t="s">
        <v>9</v>
      </c>
      <c r="D36" s="287" t="s">
        <v>273</v>
      </c>
      <c r="E36" s="287">
        <v>18201</v>
      </c>
      <c r="F36" s="287">
        <v>650</v>
      </c>
      <c r="G36" s="287">
        <v>650</v>
      </c>
      <c r="H36" s="287">
        <v>486</v>
      </c>
      <c r="I36" s="287">
        <v>55</v>
      </c>
      <c r="J36" s="287">
        <v>11</v>
      </c>
      <c r="K36" s="287">
        <v>94</v>
      </c>
      <c r="L36" s="287">
        <v>94</v>
      </c>
      <c r="M36" s="287">
        <v>0</v>
      </c>
    </row>
    <row r="37" spans="1:13" ht="16">
      <c r="A37" s="287" t="s">
        <v>255</v>
      </c>
      <c r="B37" s="287" t="s">
        <v>256</v>
      </c>
      <c r="C37" s="287" t="s">
        <v>9</v>
      </c>
      <c r="D37" s="287" t="s">
        <v>274</v>
      </c>
      <c r="E37" s="287">
        <v>18201</v>
      </c>
      <c r="F37" s="287">
        <v>650</v>
      </c>
      <c r="G37" s="287">
        <v>650</v>
      </c>
      <c r="H37" s="287">
        <v>486</v>
      </c>
      <c r="I37" s="287">
        <v>55</v>
      </c>
      <c r="J37" s="287">
        <v>11</v>
      </c>
      <c r="K37" s="287">
        <v>94</v>
      </c>
      <c r="L37" s="287">
        <v>94</v>
      </c>
      <c r="M37" s="287">
        <v>0</v>
      </c>
    </row>
    <row r="38" spans="1:13" ht="16">
      <c r="A38" s="287" t="s">
        <v>255</v>
      </c>
      <c r="B38" s="287" t="s">
        <v>256</v>
      </c>
      <c r="C38" s="287" t="s">
        <v>9</v>
      </c>
      <c r="D38" s="287" t="s">
        <v>275</v>
      </c>
      <c r="E38" s="287">
        <v>20971</v>
      </c>
      <c r="F38" s="287">
        <v>727</v>
      </c>
      <c r="G38" s="287">
        <v>727</v>
      </c>
      <c r="H38" s="287">
        <v>549</v>
      </c>
      <c r="I38" s="287">
        <v>73</v>
      </c>
      <c r="J38" s="287">
        <v>19</v>
      </c>
      <c r="K38" s="287">
        <v>17</v>
      </c>
      <c r="L38" s="287">
        <v>0</v>
      </c>
      <c r="M38" s="287">
        <v>17</v>
      </c>
    </row>
    <row r="39" spans="1:13" ht="16">
      <c r="A39" s="287" t="s">
        <v>255</v>
      </c>
      <c r="B39" s="287" t="s">
        <v>256</v>
      </c>
      <c r="C39" s="287" t="s">
        <v>9</v>
      </c>
      <c r="D39" s="287" t="s">
        <v>276</v>
      </c>
      <c r="E39" s="287">
        <v>20971</v>
      </c>
      <c r="F39" s="287">
        <v>727</v>
      </c>
      <c r="G39" s="287">
        <v>727</v>
      </c>
      <c r="H39" s="287">
        <v>549</v>
      </c>
      <c r="I39" s="287">
        <v>73</v>
      </c>
      <c r="J39" s="287">
        <v>19</v>
      </c>
      <c r="K39" s="287">
        <v>17</v>
      </c>
      <c r="L39" s="287">
        <v>0</v>
      </c>
      <c r="M39" s="287">
        <v>17</v>
      </c>
    </row>
    <row r="40" spans="1:13" ht="16">
      <c r="A40" s="287" t="s">
        <v>255</v>
      </c>
      <c r="B40" s="287" t="s">
        <v>256</v>
      </c>
      <c r="C40" s="287" t="s">
        <v>9</v>
      </c>
      <c r="D40" s="287" t="s">
        <v>277</v>
      </c>
      <c r="E40" s="287">
        <v>15464</v>
      </c>
      <c r="F40" s="287">
        <v>588</v>
      </c>
      <c r="G40" s="287">
        <v>588</v>
      </c>
      <c r="H40" s="287">
        <v>426</v>
      </c>
      <c r="I40" s="287">
        <v>92</v>
      </c>
      <c r="J40" s="287">
        <v>19</v>
      </c>
      <c r="K40" s="287">
        <v>156</v>
      </c>
      <c r="L40" s="287">
        <v>60</v>
      </c>
      <c r="M40" s="287">
        <v>81</v>
      </c>
    </row>
    <row r="41" spans="1:13" ht="16">
      <c r="A41" s="287" t="s">
        <v>255</v>
      </c>
      <c r="B41" s="287" t="s">
        <v>256</v>
      </c>
      <c r="C41" s="287" t="s">
        <v>9</v>
      </c>
      <c r="D41" s="287" t="s">
        <v>278</v>
      </c>
      <c r="E41" s="287">
        <v>15464</v>
      </c>
      <c r="F41" s="287">
        <v>588</v>
      </c>
      <c r="G41" s="287">
        <v>588</v>
      </c>
      <c r="H41" s="287">
        <v>426</v>
      </c>
      <c r="I41" s="287">
        <v>92</v>
      </c>
      <c r="J41" s="287">
        <v>19</v>
      </c>
      <c r="K41" s="287">
        <v>156</v>
      </c>
      <c r="L41" s="287">
        <v>60</v>
      </c>
      <c r="M41" s="287">
        <v>81</v>
      </c>
    </row>
    <row r="42" spans="1:13" ht="16">
      <c r="A42" s="287" t="s">
        <v>255</v>
      </c>
      <c r="B42" s="287" t="s">
        <v>256</v>
      </c>
      <c r="C42" s="287" t="s">
        <v>9</v>
      </c>
      <c r="D42" s="287" t="s">
        <v>279</v>
      </c>
      <c r="E42" s="287">
        <v>21144</v>
      </c>
      <c r="F42" s="287">
        <v>741</v>
      </c>
      <c r="G42" s="287">
        <v>741</v>
      </c>
      <c r="H42" s="287">
        <v>575</v>
      </c>
      <c r="I42" s="287">
        <v>64</v>
      </c>
      <c r="J42" s="287">
        <v>15</v>
      </c>
      <c r="K42" s="287">
        <v>3</v>
      </c>
      <c r="L42" s="287">
        <v>0</v>
      </c>
      <c r="M42" s="287">
        <v>3</v>
      </c>
    </row>
    <row r="43" spans="1:13" ht="16">
      <c r="A43" s="287" t="s">
        <v>255</v>
      </c>
      <c r="B43" s="287" t="s">
        <v>256</v>
      </c>
      <c r="C43" s="287" t="s">
        <v>9</v>
      </c>
      <c r="D43" s="287" t="s">
        <v>280</v>
      </c>
      <c r="E43" s="287">
        <v>21144</v>
      </c>
      <c r="F43" s="287">
        <v>741</v>
      </c>
      <c r="G43" s="287">
        <v>741</v>
      </c>
      <c r="H43" s="287">
        <v>575</v>
      </c>
      <c r="I43" s="287">
        <v>64</v>
      </c>
      <c r="J43" s="287">
        <v>15</v>
      </c>
      <c r="K43" s="287">
        <v>3</v>
      </c>
      <c r="L43" s="287">
        <v>0</v>
      </c>
      <c r="M43" s="287">
        <v>3</v>
      </c>
    </row>
    <row r="44" spans="1:13" ht="16">
      <c r="A44" s="287" t="s">
        <v>255</v>
      </c>
      <c r="B44" s="287" t="s">
        <v>256</v>
      </c>
      <c r="C44" s="287" t="s">
        <v>9</v>
      </c>
      <c r="D44" s="287" t="s">
        <v>281</v>
      </c>
      <c r="E44" s="287">
        <v>18179</v>
      </c>
      <c r="F44" s="287">
        <v>650</v>
      </c>
      <c r="G44" s="287">
        <v>650</v>
      </c>
      <c r="H44" s="287">
        <v>485</v>
      </c>
      <c r="I44" s="287">
        <v>60</v>
      </c>
      <c r="J44" s="287">
        <v>25</v>
      </c>
      <c r="K44" s="287">
        <v>95</v>
      </c>
      <c r="L44" s="287">
        <v>21</v>
      </c>
      <c r="M44" s="287">
        <v>74</v>
      </c>
    </row>
    <row r="45" spans="1:13" ht="16">
      <c r="A45" s="287" t="s">
        <v>255</v>
      </c>
      <c r="B45" s="287" t="s">
        <v>256</v>
      </c>
      <c r="C45" s="287" t="s">
        <v>9</v>
      </c>
      <c r="D45" s="287" t="s">
        <v>282</v>
      </c>
      <c r="E45" s="287">
        <v>18179</v>
      </c>
      <c r="F45" s="287">
        <v>650</v>
      </c>
      <c r="G45" s="287">
        <v>650</v>
      </c>
      <c r="H45" s="287">
        <v>485</v>
      </c>
      <c r="I45" s="287">
        <v>60</v>
      </c>
      <c r="J45" s="287">
        <v>25</v>
      </c>
      <c r="K45" s="287">
        <v>95</v>
      </c>
      <c r="L45" s="287">
        <v>21</v>
      </c>
      <c r="M45" s="287">
        <v>74</v>
      </c>
    </row>
    <row r="46" spans="1:13" ht="16">
      <c r="A46" s="287" t="s">
        <v>283</v>
      </c>
      <c r="B46" s="287"/>
      <c r="C46" s="287"/>
      <c r="D46" s="287"/>
      <c r="E46" s="288">
        <v>492026</v>
      </c>
      <c r="F46" s="287">
        <v>17502</v>
      </c>
      <c r="G46" s="287">
        <v>17502</v>
      </c>
      <c r="H46" s="287">
        <v>13304</v>
      </c>
      <c r="I46" s="287">
        <v>1618</v>
      </c>
      <c r="J46" s="287">
        <v>464</v>
      </c>
      <c r="K46" s="287">
        <v>1844</v>
      </c>
      <c r="L46" s="287">
        <v>516</v>
      </c>
      <c r="M46" s="287">
        <v>1044</v>
      </c>
    </row>
    <row r="47" spans="1:13">
      <c r="E47" s="289">
        <f>E46/31/26</f>
        <v>610.45409429280403</v>
      </c>
    </row>
  </sheetData>
  <mergeCells count="25">
    <mergeCell ref="A6:L6"/>
    <mergeCell ref="A1:L1"/>
    <mergeCell ref="A2:L2"/>
    <mergeCell ref="A3:L3"/>
    <mergeCell ref="A4:L4"/>
    <mergeCell ref="A5:L5"/>
    <mergeCell ref="E16:F16"/>
    <mergeCell ref="G16:J16"/>
    <mergeCell ref="K16:M16"/>
    <mergeCell ref="A7:L7"/>
    <mergeCell ref="A8:L8"/>
    <mergeCell ref="A9:L9"/>
    <mergeCell ref="A10:L10"/>
    <mergeCell ref="A11:L11"/>
    <mergeCell ref="A12:L12"/>
    <mergeCell ref="A13:L13"/>
    <mergeCell ref="A14:M14"/>
    <mergeCell ref="E15:F15"/>
    <mergeCell ref="G15:J15"/>
    <mergeCell ref="K15:M15"/>
    <mergeCell ref="E17:E18"/>
    <mergeCell ref="F17:F18"/>
    <mergeCell ref="G17:G18"/>
    <mergeCell ref="J17:J18"/>
    <mergeCell ref="K17:K18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СТА за март 2026 года (2ЭС7)</vt:lpstr>
      <vt:lpstr>Пробеги</vt:lpstr>
      <vt:lpstr>'СТА за март 2026 года (2ЭС7)'!_Toc410296219</vt:lpstr>
      <vt:lpstr>'СТА за март 2026 года (2ЭС7)'!_Toc410296220</vt:lpstr>
      <vt:lpstr>'СТА за март 2026 года (2ЭС7)'!_Toc410296221</vt:lpstr>
      <vt:lpstr>'СТА за март 2026 года (2ЭС7)'!_Toc410296222</vt:lpstr>
      <vt:lpstr>'СТА за март 2026 года (2ЭС7)'!Область_печати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2026-04-16T08:51:52Z</dcterms:modified>
</cp:coreProperties>
</file>