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filterPrivacy="1" codeName="ЭтаКнига"/>
  <xr:revisionPtr revIDLastSave="0" documentId="13_ncr:1_{8C245E04-1AFB-4D4E-A303-FCBF49221A4D}" xr6:coauthVersionLast="47" xr6:coauthVersionMax="47" xr10:uidLastSave="{00000000-0000-0000-0000-000000000000}"/>
  <bookViews>
    <workbookView xWindow="0" yWindow="660" windowWidth="29040" windowHeight="15840" tabRatio="781" xr2:uid="{00000000-000D-0000-FFFF-FFFF00000000}"/>
  </bookViews>
  <sheets>
    <sheet name="СТА за март 2026" sheetId="3" r:id="rId1"/>
    <sheet name="Бюджет времени" sheetId="7" state="hidden" r:id="rId2"/>
    <sheet name="Пробеги" sheetId="26" r:id="rId3"/>
  </sheets>
  <definedNames>
    <definedName name="_xlnm._FilterDatabase" localSheetId="2" hidden="1">Пробеги!$A$19:$M$175</definedName>
    <definedName name="_xlnm._FilterDatabase" localSheetId="0" hidden="1">'СТА за март 2026'!$A$10:$M$346</definedName>
    <definedName name="_xlnm.Print_Area" localSheetId="0">'СТА за март 2026'!$A$1:$M$365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" l="1"/>
  <c r="O19" i="3"/>
  <c r="O17" i="3"/>
  <c r="C343" i="3" l="1"/>
  <c r="C341" i="3"/>
  <c r="C339" i="3"/>
  <c r="C337" i="3"/>
  <c r="C333" i="3"/>
  <c r="C331" i="3"/>
  <c r="C326" i="3"/>
  <c r="C324" i="3"/>
  <c r="C322" i="3"/>
  <c r="C319" i="3"/>
  <c r="C317" i="3"/>
  <c r="C315" i="3"/>
  <c r="C313" i="3"/>
  <c r="C311" i="3"/>
  <c r="C309" i="3"/>
  <c r="C307" i="3"/>
  <c r="C305" i="3"/>
  <c r="C301" i="3"/>
  <c r="C297" i="3"/>
  <c r="C293" i="3"/>
  <c r="C289" i="3"/>
  <c r="C284" i="3"/>
  <c r="C278" i="3"/>
  <c r="C274" i="3"/>
  <c r="C270" i="3"/>
  <c r="C266" i="3"/>
  <c r="C262" i="3"/>
  <c r="C257" i="3"/>
  <c r="C252" i="3"/>
  <c r="C246" i="3"/>
  <c r="C240" i="3"/>
  <c r="C236" i="3"/>
  <c r="C232" i="3"/>
  <c r="C224" i="3"/>
  <c r="C219" i="3"/>
  <c r="C214" i="3"/>
  <c r="C210" i="3"/>
  <c r="C205" i="3"/>
  <c r="C201" i="3"/>
  <c r="C196" i="3"/>
  <c r="C192" i="3"/>
  <c r="C188" i="3"/>
  <c r="C183" i="3"/>
  <c r="C176" i="3"/>
  <c r="C172" i="3"/>
  <c r="C168" i="3"/>
  <c r="C163" i="3"/>
  <c r="C158" i="3"/>
  <c r="C154" i="3"/>
  <c r="C150" i="3"/>
  <c r="C145" i="3"/>
  <c r="C141" i="3"/>
  <c r="C137" i="3"/>
  <c r="C131" i="3"/>
  <c r="C126" i="3"/>
  <c r="C122" i="3"/>
  <c r="C117" i="3"/>
  <c r="C112" i="3"/>
  <c r="C107" i="3"/>
  <c r="C101" i="3"/>
  <c r="C96" i="3"/>
  <c r="C90" i="3"/>
  <c r="C82" i="3"/>
  <c r="C78" i="3"/>
  <c r="C71" i="3"/>
  <c r="C67" i="3"/>
  <c r="C63" i="3"/>
  <c r="C58" i="3"/>
  <c r="C54" i="3"/>
  <c r="C50" i="3"/>
  <c r="C46" i="3"/>
  <c r="C40" i="3"/>
  <c r="C36" i="3"/>
  <c r="C31" i="3"/>
  <c r="C26" i="3"/>
  <c r="C21" i="3"/>
  <c r="C15" i="3"/>
  <c r="E174" i="26"/>
  <c r="E175" i="26" s="1"/>
  <c r="V362" i="3"/>
  <c r="V350" i="3"/>
  <c r="Q25" i="3" l="1"/>
  <c r="M25" i="3"/>
  <c r="L25" i="3"/>
  <c r="K25" i="3"/>
  <c r="G25" i="3"/>
  <c r="Q106" i="3"/>
  <c r="R106" i="3" s="1"/>
  <c r="M106" i="3"/>
  <c r="L106" i="3"/>
  <c r="K106" i="3"/>
  <c r="G106" i="3"/>
  <c r="Q200" i="3"/>
  <c r="R200" i="3" s="1"/>
  <c r="M200" i="3"/>
  <c r="L200" i="3"/>
  <c r="K200" i="3"/>
  <c r="G200" i="3"/>
  <c r="V361" i="3" l="1"/>
  <c r="V349" i="3"/>
  <c r="V372" i="3"/>
  <c r="Q277" i="3" l="1"/>
  <c r="R277" i="3" s="1"/>
  <c r="M277" i="3"/>
  <c r="L277" i="3"/>
  <c r="K277" i="3"/>
  <c r="G277" i="3"/>
  <c r="Q235" i="3"/>
  <c r="M235" i="3"/>
  <c r="L235" i="3"/>
  <c r="K235" i="3"/>
  <c r="G235" i="3"/>
  <c r="Q231" i="3"/>
  <c r="M231" i="3"/>
  <c r="L231" i="3"/>
  <c r="K231" i="3"/>
  <c r="G231" i="3"/>
  <c r="Q140" i="3"/>
  <c r="M140" i="3"/>
  <c r="L140" i="3"/>
  <c r="K140" i="3"/>
  <c r="G140" i="3"/>
  <c r="Q130" i="3"/>
  <c r="M130" i="3"/>
  <c r="L130" i="3"/>
  <c r="K130" i="3"/>
  <c r="G130" i="3"/>
  <c r="R235" i="3" l="1"/>
  <c r="R231" i="3"/>
  <c r="R140" i="3"/>
  <c r="R130" i="3"/>
  <c r="R100" i="3"/>
  <c r="M100" i="3"/>
  <c r="L100" i="3"/>
  <c r="K100" i="3"/>
  <c r="G100" i="3"/>
  <c r="Q14" i="3"/>
  <c r="M14" i="3"/>
  <c r="L14" i="3"/>
  <c r="K14" i="3"/>
  <c r="G14" i="3"/>
  <c r="R14" i="3" l="1"/>
  <c r="Q330" i="3"/>
  <c r="M330" i="3"/>
  <c r="L330" i="3"/>
  <c r="K330" i="3"/>
  <c r="G330" i="3"/>
  <c r="Q321" i="3"/>
  <c r="R321" i="3" s="1"/>
  <c r="M321" i="3"/>
  <c r="L321" i="3"/>
  <c r="K321" i="3"/>
  <c r="G321" i="3"/>
  <c r="Q316" i="3"/>
  <c r="M316" i="3"/>
  <c r="L316" i="3"/>
  <c r="K316" i="3"/>
  <c r="G316" i="3"/>
  <c r="Q269" i="3"/>
  <c r="M269" i="3"/>
  <c r="L269" i="3"/>
  <c r="K269" i="3"/>
  <c r="G269" i="3"/>
  <c r="R265" i="3"/>
  <c r="M265" i="3"/>
  <c r="L265" i="3"/>
  <c r="K265" i="3"/>
  <c r="G265" i="3"/>
  <c r="Q245" i="3"/>
  <c r="M245" i="3"/>
  <c r="L245" i="3"/>
  <c r="K245" i="3"/>
  <c r="G245" i="3"/>
  <c r="Q223" i="3"/>
  <c r="M223" i="3"/>
  <c r="L223" i="3"/>
  <c r="K223" i="3"/>
  <c r="G223" i="3"/>
  <c r="Q218" i="3"/>
  <c r="R218" i="3" s="1"/>
  <c r="M218" i="3"/>
  <c r="L218" i="3"/>
  <c r="K218" i="3"/>
  <c r="G218" i="3"/>
  <c r="Q209" i="3"/>
  <c r="M209" i="3"/>
  <c r="L209" i="3"/>
  <c r="K209" i="3"/>
  <c r="G209" i="3"/>
  <c r="Q171" i="3"/>
  <c r="R171" i="3" s="1"/>
  <c r="M171" i="3"/>
  <c r="L171" i="3"/>
  <c r="K171" i="3"/>
  <c r="G171" i="3"/>
  <c r="Q167" i="3"/>
  <c r="M167" i="3"/>
  <c r="L167" i="3"/>
  <c r="K167" i="3"/>
  <c r="G167" i="3"/>
  <c r="Q162" i="3"/>
  <c r="R162" i="3" s="1"/>
  <c r="M162" i="3"/>
  <c r="L162" i="3"/>
  <c r="K162" i="3"/>
  <c r="G162" i="3"/>
  <c r="Q149" i="3"/>
  <c r="R149" i="3" s="1"/>
  <c r="M149" i="3"/>
  <c r="L149" i="3"/>
  <c r="K149" i="3"/>
  <c r="G149" i="3"/>
  <c r="Q121" i="3"/>
  <c r="R121" i="3" s="1"/>
  <c r="M121" i="3"/>
  <c r="L121" i="3"/>
  <c r="K121" i="3"/>
  <c r="G121" i="3"/>
  <c r="Q116" i="3"/>
  <c r="R116" i="3" s="1"/>
  <c r="M116" i="3"/>
  <c r="L116" i="3"/>
  <c r="K116" i="3"/>
  <c r="G116" i="3"/>
  <c r="Q111" i="3"/>
  <c r="M111" i="3"/>
  <c r="L111" i="3"/>
  <c r="K111" i="3"/>
  <c r="G111" i="3"/>
  <c r="R77" i="3"/>
  <c r="M77" i="3"/>
  <c r="L77" i="3"/>
  <c r="K77" i="3"/>
  <c r="G77" i="3"/>
  <c r="Q70" i="3"/>
  <c r="M70" i="3"/>
  <c r="L70" i="3"/>
  <c r="K70" i="3"/>
  <c r="G70" i="3"/>
  <c r="Q62" i="3"/>
  <c r="M62" i="3"/>
  <c r="L62" i="3"/>
  <c r="K62" i="3"/>
  <c r="G62" i="3"/>
  <c r="Q35" i="3"/>
  <c r="M35" i="3"/>
  <c r="L35" i="3"/>
  <c r="K35" i="3"/>
  <c r="G35" i="3"/>
  <c r="R330" i="3" l="1"/>
  <c r="M317" i="3"/>
  <c r="R316" i="3"/>
  <c r="R317" i="3" s="1"/>
  <c r="Q317" i="3"/>
  <c r="R269" i="3"/>
  <c r="R245" i="3"/>
  <c r="R223" i="3"/>
  <c r="R209" i="3"/>
  <c r="R167" i="3"/>
  <c r="R70" i="3"/>
  <c r="R62" i="3"/>
  <c r="R35" i="3"/>
  <c r="Q30" i="3"/>
  <c r="M30" i="3"/>
  <c r="L30" i="3"/>
  <c r="K30" i="3"/>
  <c r="G30" i="3"/>
  <c r="Q329" i="3"/>
  <c r="M329" i="3"/>
  <c r="L329" i="3"/>
  <c r="K329" i="3"/>
  <c r="G329" i="3"/>
  <c r="Q239" i="3"/>
  <c r="M239" i="3"/>
  <c r="L239" i="3"/>
  <c r="K239" i="3"/>
  <c r="G239" i="3"/>
  <c r="Q182" i="3"/>
  <c r="M182" i="3"/>
  <c r="L182" i="3"/>
  <c r="K182" i="3"/>
  <c r="G182" i="3"/>
  <c r="Q175" i="3"/>
  <c r="M175" i="3"/>
  <c r="L175" i="3"/>
  <c r="K175" i="3"/>
  <c r="G175" i="3"/>
  <c r="Q136" i="3"/>
  <c r="M136" i="3"/>
  <c r="L136" i="3"/>
  <c r="K136" i="3"/>
  <c r="G136" i="3"/>
  <c r="Q76" i="3"/>
  <c r="M76" i="3"/>
  <c r="L76" i="3"/>
  <c r="K76" i="3"/>
  <c r="G76" i="3"/>
  <c r="V371" i="3"/>
  <c r="V370" i="3"/>
  <c r="R30" i="3" l="1"/>
  <c r="R329" i="3"/>
  <c r="R239" i="3"/>
  <c r="R182" i="3"/>
  <c r="R175" i="3"/>
  <c r="R136" i="3"/>
  <c r="R76" i="3"/>
  <c r="Q296" i="3"/>
  <c r="M296" i="3"/>
  <c r="L296" i="3"/>
  <c r="K296" i="3"/>
  <c r="G296" i="3"/>
  <c r="Q292" i="3"/>
  <c r="M292" i="3"/>
  <c r="L292" i="3"/>
  <c r="K292" i="3"/>
  <c r="G292" i="3"/>
  <c r="Q273" i="3"/>
  <c r="R273" i="3" s="1"/>
  <c r="M273" i="3"/>
  <c r="L273" i="3"/>
  <c r="K273" i="3"/>
  <c r="G273" i="3"/>
  <c r="Q125" i="3"/>
  <c r="M125" i="3"/>
  <c r="L125" i="3"/>
  <c r="K125" i="3"/>
  <c r="G125" i="3"/>
  <c r="Q105" i="3"/>
  <c r="M105" i="3"/>
  <c r="L105" i="3"/>
  <c r="K105" i="3"/>
  <c r="G105" i="3"/>
  <c r="R296" i="3" l="1"/>
  <c r="R292" i="3"/>
  <c r="R125" i="3"/>
  <c r="R105" i="3"/>
  <c r="D343" i="3"/>
  <c r="D317" i="3"/>
  <c r="D315" i="3"/>
  <c r="R256" i="3"/>
  <c r="M256" i="3"/>
  <c r="L256" i="3"/>
  <c r="K256" i="3"/>
  <c r="G256" i="3"/>
  <c r="Q244" i="3"/>
  <c r="M244" i="3"/>
  <c r="L244" i="3"/>
  <c r="K244" i="3"/>
  <c r="G244" i="3"/>
  <c r="Q187" i="3"/>
  <c r="R187" i="3" s="1"/>
  <c r="M187" i="3"/>
  <c r="L187" i="3"/>
  <c r="K187" i="3"/>
  <c r="G187" i="3"/>
  <c r="Q181" i="3"/>
  <c r="M181" i="3"/>
  <c r="L181" i="3"/>
  <c r="K181" i="3"/>
  <c r="G181" i="3"/>
  <c r="Q191" i="3"/>
  <c r="R191" i="3" s="1"/>
  <c r="M191" i="3"/>
  <c r="L191" i="3"/>
  <c r="K191" i="3"/>
  <c r="G191" i="3"/>
  <c r="Q157" i="3"/>
  <c r="M157" i="3"/>
  <c r="L157" i="3"/>
  <c r="K157" i="3"/>
  <c r="G157" i="3"/>
  <c r="Q153" i="3"/>
  <c r="M153" i="3"/>
  <c r="L153" i="3"/>
  <c r="K153" i="3"/>
  <c r="G153" i="3"/>
  <c r="Q20" i="3"/>
  <c r="M20" i="3"/>
  <c r="L20" i="3"/>
  <c r="K20" i="3"/>
  <c r="G20" i="3"/>
  <c r="Q318" i="3"/>
  <c r="M318" i="3"/>
  <c r="M319" i="3" s="1"/>
  <c r="L318" i="3"/>
  <c r="K318" i="3"/>
  <c r="G318" i="3"/>
  <c r="D313" i="3"/>
  <c r="D311" i="3"/>
  <c r="D309" i="3"/>
  <c r="D307" i="3"/>
  <c r="Q261" i="3"/>
  <c r="M261" i="3"/>
  <c r="L261" i="3"/>
  <c r="K261" i="3"/>
  <c r="G261" i="3"/>
  <c r="R318" i="3" l="1"/>
  <c r="R319" i="3" s="1"/>
  <c r="Q319" i="3"/>
  <c r="Q343" i="3"/>
  <c r="R343" i="3"/>
  <c r="R157" i="3"/>
  <c r="R153" i="3"/>
  <c r="R20" i="3"/>
  <c r="R261" i="3"/>
  <c r="L216" i="3"/>
  <c r="Q328" i="3"/>
  <c r="R328" i="3" s="1"/>
  <c r="M328" i="3"/>
  <c r="L328" i="3"/>
  <c r="K328" i="3"/>
  <c r="G328" i="3"/>
  <c r="Q327" i="3"/>
  <c r="Q331" i="3" s="1"/>
  <c r="M327" i="3"/>
  <c r="L327" i="3"/>
  <c r="K327" i="3"/>
  <c r="G327" i="3"/>
  <c r="Q304" i="3"/>
  <c r="M304" i="3"/>
  <c r="L304" i="3"/>
  <c r="K304" i="3"/>
  <c r="G304" i="3"/>
  <c r="Q300" i="3"/>
  <c r="M300" i="3"/>
  <c r="L300" i="3"/>
  <c r="K300" i="3"/>
  <c r="G300" i="3"/>
  <c r="Q288" i="3"/>
  <c r="R288" i="3" s="1"/>
  <c r="M288" i="3"/>
  <c r="L288" i="3"/>
  <c r="K288" i="3"/>
  <c r="G288" i="3"/>
  <c r="Q287" i="3"/>
  <c r="M287" i="3"/>
  <c r="L287" i="3"/>
  <c r="K287" i="3"/>
  <c r="G287" i="3"/>
  <c r="Q283" i="3"/>
  <c r="M283" i="3"/>
  <c r="L283" i="3"/>
  <c r="K283" i="3"/>
  <c r="G283" i="3"/>
  <c r="Q260" i="3"/>
  <c r="M260" i="3"/>
  <c r="L260" i="3"/>
  <c r="K260" i="3"/>
  <c r="G260" i="3"/>
  <c r="Q251" i="3"/>
  <c r="M251" i="3"/>
  <c r="L251" i="3"/>
  <c r="K251" i="3"/>
  <c r="G251" i="3"/>
  <c r="Q243" i="3"/>
  <c r="M243" i="3"/>
  <c r="L243" i="3"/>
  <c r="K243" i="3"/>
  <c r="G243" i="3"/>
  <c r="Q234" i="3"/>
  <c r="R234" i="3" s="1"/>
  <c r="M234" i="3"/>
  <c r="L234" i="3"/>
  <c r="K234" i="3"/>
  <c r="G234" i="3"/>
  <c r="Q230" i="3"/>
  <c r="M230" i="3"/>
  <c r="L230" i="3"/>
  <c r="K230" i="3"/>
  <c r="G230" i="3"/>
  <c r="Q222" i="3"/>
  <c r="M222" i="3"/>
  <c r="L222" i="3"/>
  <c r="K222" i="3"/>
  <c r="G222" i="3"/>
  <c r="Q217" i="3"/>
  <c r="M217" i="3"/>
  <c r="L217" i="3"/>
  <c r="K217" i="3"/>
  <c r="G217" i="3"/>
  <c r="Q213" i="3"/>
  <c r="M213" i="3"/>
  <c r="L213" i="3"/>
  <c r="K213" i="3"/>
  <c r="G213" i="3"/>
  <c r="Q208" i="3"/>
  <c r="M208" i="3"/>
  <c r="L208" i="3"/>
  <c r="K208" i="3"/>
  <c r="G208" i="3"/>
  <c r="Q204" i="3"/>
  <c r="M204" i="3"/>
  <c r="L204" i="3"/>
  <c r="K204" i="3"/>
  <c r="G204" i="3"/>
  <c r="Q199" i="3"/>
  <c r="M199" i="3"/>
  <c r="L199" i="3"/>
  <c r="K199" i="3"/>
  <c r="G199" i="3"/>
  <c r="Q195" i="3"/>
  <c r="M195" i="3"/>
  <c r="L195" i="3"/>
  <c r="K195" i="3"/>
  <c r="G195" i="3"/>
  <c r="Q186" i="3"/>
  <c r="R186" i="3" s="1"/>
  <c r="M186" i="3"/>
  <c r="L186" i="3"/>
  <c r="K186" i="3"/>
  <c r="G186" i="3"/>
  <c r="Q170" i="3"/>
  <c r="M170" i="3"/>
  <c r="L170" i="3"/>
  <c r="K170" i="3"/>
  <c r="G170" i="3"/>
  <c r="Q161" i="3"/>
  <c r="M161" i="3"/>
  <c r="L161" i="3"/>
  <c r="K161" i="3"/>
  <c r="G161" i="3"/>
  <c r="Q148" i="3"/>
  <c r="M148" i="3"/>
  <c r="L148" i="3"/>
  <c r="K148" i="3"/>
  <c r="G148" i="3"/>
  <c r="Q144" i="3"/>
  <c r="R144" i="3" s="1"/>
  <c r="M144" i="3"/>
  <c r="L144" i="3"/>
  <c r="K144" i="3"/>
  <c r="G144" i="3"/>
  <c r="Q143" i="3"/>
  <c r="M143" i="3"/>
  <c r="L143" i="3"/>
  <c r="K143" i="3"/>
  <c r="G143" i="3"/>
  <c r="Q139" i="3"/>
  <c r="M139" i="3"/>
  <c r="L139" i="3"/>
  <c r="K139" i="3"/>
  <c r="G139" i="3"/>
  <c r="Q129" i="3"/>
  <c r="M129" i="3"/>
  <c r="L129" i="3"/>
  <c r="K129" i="3"/>
  <c r="G129" i="3"/>
  <c r="Q115" i="3"/>
  <c r="M115" i="3"/>
  <c r="L115" i="3"/>
  <c r="K115" i="3"/>
  <c r="G115" i="3"/>
  <c r="Q99" i="3"/>
  <c r="R99" i="3" s="1"/>
  <c r="M99" i="3"/>
  <c r="L99" i="3"/>
  <c r="K99" i="3"/>
  <c r="G99" i="3"/>
  <c r="R95" i="3"/>
  <c r="M95" i="3"/>
  <c r="L95" i="3"/>
  <c r="K95" i="3"/>
  <c r="G95" i="3"/>
  <c r="R89" i="3"/>
  <c r="M89" i="3"/>
  <c r="L89" i="3"/>
  <c r="K89" i="3"/>
  <c r="G89" i="3"/>
  <c r="R81" i="3"/>
  <c r="M81" i="3"/>
  <c r="L81" i="3"/>
  <c r="K81" i="3"/>
  <c r="G81" i="3"/>
  <c r="Q80" i="3"/>
  <c r="M80" i="3"/>
  <c r="L80" i="3"/>
  <c r="K80" i="3"/>
  <c r="G80" i="3"/>
  <c r="Q75" i="3"/>
  <c r="M75" i="3"/>
  <c r="L75" i="3"/>
  <c r="K75" i="3"/>
  <c r="G75" i="3"/>
  <c r="R66" i="3"/>
  <c r="M66" i="3"/>
  <c r="L66" i="3"/>
  <c r="K66" i="3"/>
  <c r="G66" i="3"/>
  <c r="Q57" i="3"/>
  <c r="M57" i="3"/>
  <c r="L57" i="3"/>
  <c r="K57" i="3"/>
  <c r="G57" i="3"/>
  <c r="Q53" i="3"/>
  <c r="R53" i="3" s="1"/>
  <c r="M53" i="3"/>
  <c r="L53" i="3"/>
  <c r="K53" i="3"/>
  <c r="G53" i="3"/>
  <c r="Q49" i="3"/>
  <c r="M49" i="3"/>
  <c r="L49" i="3"/>
  <c r="K49" i="3"/>
  <c r="G49" i="3"/>
  <c r="Q45" i="3"/>
  <c r="R45" i="3" s="1"/>
  <c r="M45" i="3"/>
  <c r="L45" i="3"/>
  <c r="K45" i="3"/>
  <c r="G45" i="3"/>
  <c r="Q39" i="3"/>
  <c r="M39" i="3"/>
  <c r="L39" i="3"/>
  <c r="K39" i="3"/>
  <c r="G39" i="3"/>
  <c r="Q34" i="3"/>
  <c r="M34" i="3"/>
  <c r="L34" i="3"/>
  <c r="K34" i="3"/>
  <c r="G34" i="3"/>
  <c r="Q29" i="3"/>
  <c r="M29" i="3"/>
  <c r="L29" i="3"/>
  <c r="K29" i="3"/>
  <c r="G29" i="3"/>
  <c r="Q24" i="3"/>
  <c r="M24" i="3"/>
  <c r="L24" i="3"/>
  <c r="K24" i="3"/>
  <c r="G24" i="3"/>
  <c r="Q13" i="3"/>
  <c r="M13" i="3"/>
  <c r="L13" i="3"/>
  <c r="K13" i="3"/>
  <c r="G13" i="3"/>
  <c r="M331" i="3" l="1"/>
  <c r="R327" i="3"/>
  <c r="R331" i="3" s="1"/>
  <c r="R304" i="3"/>
  <c r="R300" i="3"/>
  <c r="R287" i="3"/>
  <c r="R283" i="3"/>
  <c r="R260" i="3"/>
  <c r="R251" i="3"/>
  <c r="R243" i="3"/>
  <c r="R230" i="3"/>
  <c r="R222" i="3"/>
  <c r="R217" i="3"/>
  <c r="R213" i="3"/>
  <c r="R208" i="3"/>
  <c r="R204" i="3"/>
  <c r="R199" i="3"/>
  <c r="R195" i="3"/>
  <c r="R170" i="3"/>
  <c r="R161" i="3"/>
  <c r="R148" i="3"/>
  <c r="R139" i="3"/>
  <c r="R129" i="3"/>
  <c r="R115" i="3"/>
  <c r="R80" i="3"/>
  <c r="R75" i="3"/>
  <c r="R57" i="3"/>
  <c r="R49" i="3"/>
  <c r="R39" i="3"/>
  <c r="R34" i="3"/>
  <c r="R29" i="3"/>
  <c r="R24" i="3"/>
  <c r="R13" i="3"/>
  <c r="Q276" i="3"/>
  <c r="M276" i="3"/>
  <c r="L276" i="3"/>
  <c r="K276" i="3"/>
  <c r="G276" i="3"/>
  <c r="Q268" i="3"/>
  <c r="M268" i="3"/>
  <c r="L268" i="3"/>
  <c r="K268" i="3"/>
  <c r="G268" i="3"/>
  <c r="Q264" i="3"/>
  <c r="M264" i="3"/>
  <c r="L264" i="3"/>
  <c r="K264" i="3"/>
  <c r="G264" i="3"/>
  <c r="Q166" i="3"/>
  <c r="M166" i="3"/>
  <c r="L166" i="3"/>
  <c r="K166" i="3"/>
  <c r="G166" i="3"/>
  <c r="Q120" i="3"/>
  <c r="M120" i="3"/>
  <c r="L120" i="3"/>
  <c r="K120" i="3"/>
  <c r="G120" i="3"/>
  <c r="Q110" i="3"/>
  <c r="M110" i="3"/>
  <c r="L110" i="3"/>
  <c r="K110" i="3"/>
  <c r="G110" i="3"/>
  <c r="Q94" i="3"/>
  <c r="M94" i="3"/>
  <c r="L94" i="3"/>
  <c r="K94" i="3"/>
  <c r="G94" i="3"/>
  <c r="Q69" i="3"/>
  <c r="M69" i="3"/>
  <c r="L69" i="3"/>
  <c r="K69" i="3"/>
  <c r="G69" i="3"/>
  <c r="Q65" i="3"/>
  <c r="M65" i="3"/>
  <c r="L65" i="3"/>
  <c r="K65" i="3"/>
  <c r="G65" i="3"/>
  <c r="D62" i="7"/>
  <c r="D341" i="3"/>
  <c r="Q340" i="3"/>
  <c r="M340" i="3"/>
  <c r="M341" i="3" s="1"/>
  <c r="L340" i="3"/>
  <c r="K340" i="3"/>
  <c r="G340" i="3"/>
  <c r="D339" i="3"/>
  <c r="Q338" i="3"/>
  <c r="M338" i="3"/>
  <c r="M339" i="3" s="1"/>
  <c r="L338" i="3"/>
  <c r="K338" i="3"/>
  <c r="G338" i="3"/>
  <c r="D337" i="3"/>
  <c r="Q336" i="3"/>
  <c r="M336" i="3"/>
  <c r="M337" i="3" s="1"/>
  <c r="L336" i="3"/>
  <c r="K336" i="3"/>
  <c r="G336" i="3"/>
  <c r="D333" i="3"/>
  <c r="Q332" i="3"/>
  <c r="M332" i="3"/>
  <c r="M333" i="3" s="1"/>
  <c r="L332" i="3"/>
  <c r="K332" i="3"/>
  <c r="G332" i="3"/>
  <c r="D331" i="3"/>
  <c r="D326" i="3"/>
  <c r="Q325" i="3"/>
  <c r="M325" i="3"/>
  <c r="M326" i="3" s="1"/>
  <c r="L325" i="3"/>
  <c r="K325" i="3"/>
  <c r="G325" i="3"/>
  <c r="D324" i="3"/>
  <c r="Q323" i="3"/>
  <c r="M323" i="3"/>
  <c r="M324" i="3" s="1"/>
  <c r="L323" i="3"/>
  <c r="K323" i="3"/>
  <c r="G323" i="3"/>
  <c r="D322" i="3"/>
  <c r="Q320" i="3"/>
  <c r="Q322" i="3" s="1"/>
  <c r="M320" i="3"/>
  <c r="M322" i="3" s="1"/>
  <c r="L320" i="3"/>
  <c r="K320" i="3"/>
  <c r="G320" i="3"/>
  <c r="D319" i="3"/>
  <c r="A78" i="7"/>
  <c r="D65" i="7"/>
  <c r="E313" i="3" s="1"/>
  <c r="D66" i="7"/>
  <c r="E315" i="3" s="1"/>
  <c r="D67" i="7"/>
  <c r="E317" i="3" s="1"/>
  <c r="D68" i="7"/>
  <c r="D69" i="7"/>
  <c r="D70" i="7"/>
  <c r="D71" i="7"/>
  <c r="D72" i="7"/>
  <c r="D73" i="7"/>
  <c r="D74" i="7"/>
  <c r="D75" i="7"/>
  <c r="D76" i="7"/>
  <c r="D77" i="7"/>
  <c r="E343" i="3" s="1"/>
  <c r="E307" i="3" l="1"/>
  <c r="R268" i="3"/>
  <c r="R264" i="3"/>
  <c r="R166" i="3"/>
  <c r="R120" i="3"/>
  <c r="R94" i="3"/>
  <c r="R69" i="3"/>
  <c r="R65" i="3"/>
  <c r="Q341" i="3"/>
  <c r="R340" i="3"/>
  <c r="R341" i="3" s="1"/>
  <c r="E341" i="3" s="1"/>
  <c r="Q339" i="3"/>
  <c r="R338" i="3"/>
  <c r="R339" i="3" s="1"/>
  <c r="E339" i="3" s="1"/>
  <c r="Q337" i="3"/>
  <c r="R336" i="3"/>
  <c r="R337" i="3" s="1"/>
  <c r="E337" i="3" s="1"/>
  <c r="Q333" i="3"/>
  <c r="R332" i="3"/>
  <c r="R333" i="3" s="1"/>
  <c r="E333" i="3" s="1"/>
  <c r="E331" i="3"/>
  <c r="Q326" i="3"/>
  <c r="R325" i="3"/>
  <c r="R326" i="3" s="1"/>
  <c r="E326" i="3" s="1"/>
  <c r="Q324" i="3"/>
  <c r="R323" i="3"/>
  <c r="R324" i="3" s="1"/>
  <c r="E324" i="3" s="1"/>
  <c r="R320" i="3"/>
  <c r="Q238" i="3"/>
  <c r="M238" i="3"/>
  <c r="L238" i="3"/>
  <c r="K238" i="3"/>
  <c r="G238" i="3"/>
  <c r="Q74" i="3"/>
  <c r="M74" i="3"/>
  <c r="L74" i="3"/>
  <c r="K74" i="3"/>
  <c r="G74" i="3"/>
  <c r="R61" i="3"/>
  <c r="M61" i="3"/>
  <c r="L61" i="3"/>
  <c r="K61" i="3"/>
  <c r="G61" i="3"/>
  <c r="Q88" i="3"/>
  <c r="R88" i="3" s="1"/>
  <c r="M88" i="3"/>
  <c r="L88" i="3"/>
  <c r="K88" i="3"/>
  <c r="G88" i="3"/>
  <c r="Q86" i="3"/>
  <c r="R86" i="3" s="1"/>
  <c r="M86" i="3"/>
  <c r="L86" i="3"/>
  <c r="K86" i="3"/>
  <c r="G86" i="3"/>
  <c r="Q291" i="3"/>
  <c r="M291" i="3"/>
  <c r="L291" i="3"/>
  <c r="K291" i="3"/>
  <c r="G291" i="3"/>
  <c r="Q160" i="3"/>
  <c r="R160" i="3" s="1"/>
  <c r="M160" i="3"/>
  <c r="L160" i="3"/>
  <c r="K160" i="3"/>
  <c r="G160" i="3"/>
  <c r="Q23" i="3"/>
  <c r="Q26" i="3" s="1"/>
  <c r="M23" i="3"/>
  <c r="L23" i="3"/>
  <c r="K23" i="3"/>
  <c r="G23" i="3"/>
  <c r="L119" i="3"/>
  <c r="L104" i="3"/>
  <c r="L16" i="3"/>
  <c r="L12" i="3"/>
  <c r="L22" i="3"/>
  <c r="Q124" i="3"/>
  <c r="M124" i="3"/>
  <c r="L124" i="3"/>
  <c r="K124" i="3"/>
  <c r="G124" i="3"/>
  <c r="Q255" i="3"/>
  <c r="M255" i="3"/>
  <c r="L255" i="3"/>
  <c r="K255" i="3"/>
  <c r="G255" i="3"/>
  <c r="L19" i="3"/>
  <c r="R322" i="3" l="1"/>
  <c r="E322" i="3" s="1"/>
  <c r="E319" i="3"/>
  <c r="R238" i="3"/>
  <c r="R74" i="3"/>
  <c r="R291" i="3"/>
  <c r="R124" i="3"/>
  <c r="R255" i="3"/>
  <c r="Q299" i="3"/>
  <c r="M299" i="3"/>
  <c r="L299" i="3"/>
  <c r="K299" i="3"/>
  <c r="G299" i="3"/>
  <c r="Q295" i="3"/>
  <c r="M295" i="3"/>
  <c r="L295" i="3"/>
  <c r="K295" i="3"/>
  <c r="G295" i="3"/>
  <c r="Q250" i="3"/>
  <c r="M250" i="3"/>
  <c r="L250" i="3"/>
  <c r="K250" i="3"/>
  <c r="G250" i="3"/>
  <c r="Q282" i="3"/>
  <c r="R282" i="3" s="1"/>
  <c r="M282" i="3"/>
  <c r="L282" i="3"/>
  <c r="K282" i="3"/>
  <c r="G282" i="3"/>
  <c r="Q272" i="3"/>
  <c r="M272" i="3"/>
  <c r="L272" i="3"/>
  <c r="K272" i="3"/>
  <c r="G272" i="3"/>
  <c r="Q259" i="3"/>
  <c r="M259" i="3"/>
  <c r="L259" i="3"/>
  <c r="K259" i="3"/>
  <c r="G259" i="3"/>
  <c r="Q212" i="3"/>
  <c r="M212" i="3"/>
  <c r="L212" i="3"/>
  <c r="K212" i="3"/>
  <c r="G212" i="3"/>
  <c r="Q190" i="3"/>
  <c r="R190" i="3" s="1"/>
  <c r="M190" i="3"/>
  <c r="L190" i="3"/>
  <c r="K190" i="3"/>
  <c r="G190" i="3"/>
  <c r="Q185" i="3"/>
  <c r="R185" i="3" s="1"/>
  <c r="M185" i="3"/>
  <c r="L185" i="3"/>
  <c r="K185" i="3"/>
  <c r="G185" i="3"/>
  <c r="Q180" i="3"/>
  <c r="M180" i="3"/>
  <c r="L180" i="3"/>
  <c r="K180" i="3"/>
  <c r="G180" i="3"/>
  <c r="Q174" i="3"/>
  <c r="R174" i="3" s="1"/>
  <c r="M174" i="3"/>
  <c r="L174" i="3"/>
  <c r="K174" i="3"/>
  <c r="G174" i="3"/>
  <c r="Q152" i="3"/>
  <c r="M152" i="3"/>
  <c r="L152" i="3"/>
  <c r="K152" i="3"/>
  <c r="G152" i="3"/>
  <c r="Q135" i="3"/>
  <c r="R135" i="3" s="1"/>
  <c r="M135" i="3"/>
  <c r="L135" i="3"/>
  <c r="K135" i="3"/>
  <c r="G135" i="3"/>
  <c r="Q104" i="3"/>
  <c r="M104" i="3"/>
  <c r="K104" i="3"/>
  <c r="G104" i="3"/>
  <c r="Q73" i="3"/>
  <c r="M73" i="3"/>
  <c r="L73" i="3"/>
  <c r="K73" i="3"/>
  <c r="G73" i="3"/>
  <c r="Q56" i="3"/>
  <c r="M56" i="3"/>
  <c r="L56" i="3"/>
  <c r="K56" i="3"/>
  <c r="G56" i="3"/>
  <c r="Q52" i="3"/>
  <c r="M52" i="3"/>
  <c r="L52" i="3"/>
  <c r="K52" i="3"/>
  <c r="G52" i="3"/>
  <c r="R19" i="3"/>
  <c r="M19" i="3"/>
  <c r="K19" i="3"/>
  <c r="G19" i="3"/>
  <c r="Q12" i="3"/>
  <c r="M12" i="3"/>
  <c r="K12" i="3"/>
  <c r="G12" i="3"/>
  <c r="Q28" i="3"/>
  <c r="M28" i="3"/>
  <c r="L28" i="3"/>
  <c r="K28" i="3"/>
  <c r="G28" i="3"/>
  <c r="Q203" i="3"/>
  <c r="M203" i="3"/>
  <c r="L203" i="3"/>
  <c r="K203" i="3"/>
  <c r="G203" i="3"/>
  <c r="Q165" i="3"/>
  <c r="M165" i="3"/>
  <c r="L165" i="3"/>
  <c r="K165" i="3"/>
  <c r="G165" i="3"/>
  <c r="Q147" i="3"/>
  <c r="M147" i="3"/>
  <c r="L147" i="3"/>
  <c r="K147" i="3"/>
  <c r="G147" i="3"/>
  <c r="Q128" i="3"/>
  <c r="M128" i="3"/>
  <c r="L128" i="3"/>
  <c r="K128" i="3"/>
  <c r="G128" i="3"/>
  <c r="Q87" i="3"/>
  <c r="R87" i="3" s="1"/>
  <c r="M87" i="3"/>
  <c r="L87" i="3"/>
  <c r="K87" i="3"/>
  <c r="G87" i="3"/>
  <c r="Q48" i="3"/>
  <c r="R48" i="3" s="1"/>
  <c r="M48" i="3"/>
  <c r="L48" i="3"/>
  <c r="K48" i="3"/>
  <c r="G48" i="3"/>
  <c r="R38" i="3"/>
  <c r="M38" i="3"/>
  <c r="L38" i="3"/>
  <c r="K38" i="3"/>
  <c r="G38" i="3"/>
  <c r="Q254" i="3"/>
  <c r="M254" i="3"/>
  <c r="L254" i="3"/>
  <c r="K254" i="3"/>
  <c r="G254" i="3"/>
  <c r="R249" i="3"/>
  <c r="M249" i="3"/>
  <c r="L249" i="3"/>
  <c r="K249" i="3"/>
  <c r="G249" i="3"/>
  <c r="Q229" i="3"/>
  <c r="M229" i="3"/>
  <c r="L229" i="3"/>
  <c r="K229" i="3"/>
  <c r="G229" i="3"/>
  <c r="Q221" i="3"/>
  <c r="M221" i="3"/>
  <c r="L221" i="3"/>
  <c r="K221" i="3"/>
  <c r="G221" i="3"/>
  <c r="Q194" i="3"/>
  <c r="M194" i="3"/>
  <c r="L194" i="3"/>
  <c r="K194" i="3"/>
  <c r="G194" i="3"/>
  <c r="Q156" i="3"/>
  <c r="M156" i="3"/>
  <c r="L156" i="3"/>
  <c r="K156" i="3"/>
  <c r="G156" i="3"/>
  <c r="Q98" i="3"/>
  <c r="M98" i="3"/>
  <c r="L98" i="3"/>
  <c r="K98" i="3"/>
  <c r="G98" i="3"/>
  <c r="Q44" i="3"/>
  <c r="R44" i="3" s="1"/>
  <c r="M44" i="3"/>
  <c r="L44" i="3"/>
  <c r="K44" i="3"/>
  <c r="G44" i="3"/>
  <c r="Q33" i="3"/>
  <c r="M33" i="3"/>
  <c r="L33" i="3"/>
  <c r="K33" i="3"/>
  <c r="G33" i="3"/>
  <c r="R299" i="3" l="1"/>
  <c r="R295" i="3"/>
  <c r="R272" i="3"/>
  <c r="R259" i="3"/>
  <c r="R212" i="3"/>
  <c r="R180" i="3"/>
  <c r="R152" i="3"/>
  <c r="R104" i="3"/>
  <c r="R73" i="3"/>
  <c r="R56" i="3"/>
  <c r="R52" i="3"/>
  <c r="R12" i="3"/>
  <c r="R28" i="3"/>
  <c r="R203" i="3"/>
  <c r="R165" i="3"/>
  <c r="R147" i="3"/>
  <c r="R128" i="3"/>
  <c r="R229" i="3"/>
  <c r="R194" i="3"/>
  <c r="R156" i="3"/>
  <c r="R98" i="3"/>
  <c r="R33" i="3"/>
  <c r="Q303" i="3"/>
  <c r="R303" i="3" s="1"/>
  <c r="M303" i="3"/>
  <c r="L303" i="3"/>
  <c r="K303" i="3"/>
  <c r="G303" i="3"/>
  <c r="Q286" i="3"/>
  <c r="M286" i="3"/>
  <c r="L286" i="3"/>
  <c r="K286" i="3"/>
  <c r="G286" i="3"/>
  <c r="Q242" i="3"/>
  <c r="M242" i="3"/>
  <c r="L242" i="3"/>
  <c r="K242" i="3"/>
  <c r="G242" i="3"/>
  <c r="Q114" i="3"/>
  <c r="M114" i="3"/>
  <c r="L114" i="3"/>
  <c r="K114" i="3"/>
  <c r="G114" i="3"/>
  <c r="Q93" i="3"/>
  <c r="M93" i="3"/>
  <c r="L93" i="3"/>
  <c r="K93" i="3"/>
  <c r="G93" i="3"/>
  <c r="Q60" i="3"/>
  <c r="M60" i="3"/>
  <c r="L60" i="3"/>
  <c r="K60" i="3"/>
  <c r="G60" i="3"/>
  <c r="R286" i="3" l="1"/>
  <c r="R242" i="3"/>
  <c r="R114" i="3"/>
  <c r="R93" i="3"/>
  <c r="R60" i="3"/>
  <c r="M11" i="3"/>
  <c r="M15" i="3" s="1"/>
  <c r="M22" i="3"/>
  <c r="M26" i="3" s="1"/>
  <c r="M216" i="3"/>
  <c r="M228" i="3"/>
  <c r="L228" i="3"/>
  <c r="R228" i="3"/>
  <c r="K228" i="3"/>
  <c r="G228" i="3"/>
  <c r="Q294" i="3" l="1"/>
  <c r="Q297" i="3" s="1"/>
  <c r="M294" i="3"/>
  <c r="M297" i="3" s="1"/>
  <c r="L294" i="3"/>
  <c r="K294" i="3"/>
  <c r="G294" i="3"/>
  <c r="Q275" i="3"/>
  <c r="Q278" i="3" s="1"/>
  <c r="M275" i="3"/>
  <c r="M278" i="3" s="1"/>
  <c r="L275" i="3"/>
  <c r="K275" i="3"/>
  <c r="G275" i="3"/>
  <c r="Q271" i="3"/>
  <c r="Q274" i="3" s="1"/>
  <c r="M271" i="3"/>
  <c r="M274" i="3" s="1"/>
  <c r="L271" i="3"/>
  <c r="K271" i="3"/>
  <c r="G271" i="3"/>
  <c r="Q267" i="3"/>
  <c r="Q270" i="3" s="1"/>
  <c r="M267" i="3"/>
  <c r="M270" i="3" s="1"/>
  <c r="L267" i="3"/>
  <c r="K267" i="3"/>
  <c r="G267" i="3"/>
  <c r="Q263" i="3"/>
  <c r="Q266" i="3" s="1"/>
  <c r="M263" i="3"/>
  <c r="M266" i="3" s="1"/>
  <c r="L263" i="3"/>
  <c r="K263" i="3"/>
  <c r="G263" i="3"/>
  <c r="Q248" i="3"/>
  <c r="M248" i="3"/>
  <c r="L248" i="3"/>
  <c r="K248" i="3"/>
  <c r="G248" i="3"/>
  <c r="Q237" i="3"/>
  <c r="Q240" i="3" s="1"/>
  <c r="M237" i="3"/>
  <c r="M240" i="3" s="1"/>
  <c r="L237" i="3"/>
  <c r="K237" i="3"/>
  <c r="G237" i="3"/>
  <c r="Q220" i="3"/>
  <c r="Q224" i="3" s="1"/>
  <c r="M220" i="3"/>
  <c r="M224" i="3" s="1"/>
  <c r="L220" i="3"/>
  <c r="K220" i="3"/>
  <c r="G220" i="3"/>
  <c r="R216" i="3"/>
  <c r="K216" i="3"/>
  <c r="G216" i="3"/>
  <c r="Q207" i="3"/>
  <c r="M207" i="3"/>
  <c r="L207" i="3"/>
  <c r="K207" i="3"/>
  <c r="G207" i="3"/>
  <c r="Q198" i="3"/>
  <c r="M198" i="3"/>
  <c r="L198" i="3"/>
  <c r="K198" i="3"/>
  <c r="G198" i="3"/>
  <c r="Q184" i="3"/>
  <c r="Q188" i="3" s="1"/>
  <c r="M184" i="3"/>
  <c r="M188" i="3" s="1"/>
  <c r="L184" i="3"/>
  <c r="K184" i="3"/>
  <c r="G184" i="3"/>
  <c r="Q173" i="3"/>
  <c r="Q176" i="3" s="1"/>
  <c r="M173" i="3"/>
  <c r="M176" i="3" s="1"/>
  <c r="L173" i="3"/>
  <c r="K173" i="3"/>
  <c r="G173" i="3"/>
  <c r="Q159" i="3"/>
  <c r="Q163" i="3" s="1"/>
  <c r="M159" i="3"/>
  <c r="M163" i="3" s="1"/>
  <c r="L159" i="3"/>
  <c r="K159" i="3"/>
  <c r="G159" i="3"/>
  <c r="Q142" i="3"/>
  <c r="M142" i="3"/>
  <c r="M145" i="3" s="1"/>
  <c r="L142" i="3"/>
  <c r="K142" i="3"/>
  <c r="G142" i="3"/>
  <c r="Q138" i="3"/>
  <c r="Q141" i="3" s="1"/>
  <c r="M138" i="3"/>
  <c r="M141" i="3" s="1"/>
  <c r="L138" i="3"/>
  <c r="K138" i="3"/>
  <c r="G138" i="3"/>
  <c r="Q134" i="3"/>
  <c r="Q137" i="3" s="1"/>
  <c r="M134" i="3"/>
  <c r="M137" i="3" s="1"/>
  <c r="L134" i="3"/>
  <c r="K134" i="3"/>
  <c r="G134" i="3"/>
  <c r="Q123" i="3"/>
  <c r="Q126" i="3" s="1"/>
  <c r="M123" i="3"/>
  <c r="M126" i="3" s="1"/>
  <c r="L123" i="3"/>
  <c r="K123" i="3"/>
  <c r="G123" i="3"/>
  <c r="Q119" i="3"/>
  <c r="M119" i="3"/>
  <c r="K119" i="3"/>
  <c r="G119" i="3"/>
  <c r="Q109" i="3"/>
  <c r="M109" i="3"/>
  <c r="L109" i="3"/>
  <c r="K109" i="3"/>
  <c r="G109" i="3"/>
  <c r="Q43" i="3"/>
  <c r="Q46" i="3" s="1"/>
  <c r="M43" i="3"/>
  <c r="M46" i="3" s="1"/>
  <c r="L43" i="3"/>
  <c r="K43" i="3"/>
  <c r="G43" i="3"/>
  <c r="K22" i="3"/>
  <c r="G22" i="3"/>
  <c r="R22" i="3"/>
  <c r="R26" i="3" s="1"/>
  <c r="Q18" i="3"/>
  <c r="M18" i="3"/>
  <c r="L18" i="3"/>
  <c r="K18" i="3"/>
  <c r="G18" i="3"/>
  <c r="Q17" i="3"/>
  <c r="M17" i="3"/>
  <c r="L17" i="3"/>
  <c r="K17" i="3"/>
  <c r="G17" i="3"/>
  <c r="Q103" i="3"/>
  <c r="M103" i="3"/>
  <c r="L103" i="3"/>
  <c r="K103" i="3"/>
  <c r="G103" i="3"/>
  <c r="Q92" i="3"/>
  <c r="M92" i="3"/>
  <c r="L92" i="3"/>
  <c r="K92" i="3"/>
  <c r="G92" i="3"/>
  <c r="Q11" i="3"/>
  <c r="Q15" i="3" s="1"/>
  <c r="L11" i="3"/>
  <c r="K11" i="3"/>
  <c r="G11" i="3"/>
  <c r="Q27" i="3"/>
  <c r="Q31" i="3" s="1"/>
  <c r="M27" i="3"/>
  <c r="M31" i="3" s="1"/>
  <c r="L27" i="3"/>
  <c r="K27" i="3"/>
  <c r="G27" i="3"/>
  <c r="Q32" i="3"/>
  <c r="Q36" i="3" s="1"/>
  <c r="M32" i="3"/>
  <c r="M36" i="3" s="1"/>
  <c r="L32" i="3"/>
  <c r="K32" i="3"/>
  <c r="G32" i="3"/>
  <c r="Q37" i="3"/>
  <c r="Q40" i="3" s="1"/>
  <c r="M37" i="3"/>
  <c r="M40" i="3" s="1"/>
  <c r="L37" i="3"/>
  <c r="K37" i="3"/>
  <c r="G37" i="3"/>
  <c r="Q47" i="3"/>
  <c r="Q50" i="3" s="1"/>
  <c r="M47" i="3"/>
  <c r="M50" i="3" s="1"/>
  <c r="L47" i="3"/>
  <c r="K47" i="3"/>
  <c r="G47" i="3"/>
  <c r="Q51" i="3"/>
  <c r="Q54" i="3" s="1"/>
  <c r="M51" i="3"/>
  <c r="M54" i="3" s="1"/>
  <c r="L51" i="3"/>
  <c r="K51" i="3"/>
  <c r="G51" i="3"/>
  <c r="Q55" i="3"/>
  <c r="Q58" i="3" s="1"/>
  <c r="M55" i="3"/>
  <c r="M58" i="3" s="1"/>
  <c r="L55" i="3"/>
  <c r="K55" i="3"/>
  <c r="G55" i="3"/>
  <c r="Q64" i="3"/>
  <c r="Q67" i="3" s="1"/>
  <c r="M64" i="3"/>
  <c r="M67" i="3" s="1"/>
  <c r="L64" i="3"/>
  <c r="K64" i="3"/>
  <c r="G64" i="3"/>
  <c r="Q68" i="3"/>
  <c r="Q71" i="3" s="1"/>
  <c r="M68" i="3"/>
  <c r="M71" i="3" s="1"/>
  <c r="L68" i="3"/>
  <c r="K68" i="3"/>
  <c r="G68" i="3"/>
  <c r="Q72" i="3"/>
  <c r="Q78" i="3" s="1"/>
  <c r="M72" i="3"/>
  <c r="M78" i="3" s="1"/>
  <c r="L72" i="3"/>
  <c r="K72" i="3"/>
  <c r="G72" i="3"/>
  <c r="Q85" i="3"/>
  <c r="Q90" i="3" s="1"/>
  <c r="M85" i="3"/>
  <c r="M90" i="3" s="1"/>
  <c r="L85" i="3"/>
  <c r="K85" i="3"/>
  <c r="G85" i="3"/>
  <c r="Q97" i="3"/>
  <c r="Q101" i="3" s="1"/>
  <c r="M97" i="3"/>
  <c r="M101" i="3" s="1"/>
  <c r="L97" i="3"/>
  <c r="K97" i="3"/>
  <c r="G97" i="3"/>
  <c r="Q102" i="3"/>
  <c r="Q107" i="3" s="1"/>
  <c r="M102" i="3"/>
  <c r="E352" i="3" s="1"/>
  <c r="L102" i="3"/>
  <c r="K102" i="3"/>
  <c r="G102" i="3"/>
  <c r="Q108" i="3"/>
  <c r="M108" i="3"/>
  <c r="M112" i="3" s="1"/>
  <c r="L108" i="3"/>
  <c r="K108" i="3"/>
  <c r="G108" i="3"/>
  <c r="Q127" i="3"/>
  <c r="Q131" i="3" s="1"/>
  <c r="M127" i="3"/>
  <c r="M131" i="3" s="1"/>
  <c r="L127" i="3"/>
  <c r="K127" i="3"/>
  <c r="G127" i="3"/>
  <c r="Q146" i="3"/>
  <c r="Q150" i="3" s="1"/>
  <c r="M146" i="3"/>
  <c r="M150" i="3" s="1"/>
  <c r="L146" i="3"/>
  <c r="K146" i="3"/>
  <c r="G146" i="3"/>
  <c r="Q151" i="3"/>
  <c r="Q154" i="3" s="1"/>
  <c r="M151" i="3"/>
  <c r="M154" i="3" s="1"/>
  <c r="L151" i="3"/>
  <c r="K151" i="3"/>
  <c r="G151" i="3"/>
  <c r="Q155" i="3"/>
  <c r="Q158" i="3" s="1"/>
  <c r="M155" i="3"/>
  <c r="M158" i="3" s="1"/>
  <c r="L155" i="3"/>
  <c r="K155" i="3"/>
  <c r="G155" i="3"/>
  <c r="Q164" i="3"/>
  <c r="Q168" i="3" s="1"/>
  <c r="M164" i="3"/>
  <c r="M168" i="3" s="1"/>
  <c r="L164" i="3"/>
  <c r="K164" i="3"/>
  <c r="G164" i="3"/>
  <c r="Q169" i="3"/>
  <c r="Q172" i="3" s="1"/>
  <c r="M169" i="3"/>
  <c r="M172" i="3" s="1"/>
  <c r="L169" i="3"/>
  <c r="K169" i="3"/>
  <c r="G169" i="3"/>
  <c r="Q179" i="3"/>
  <c r="Q183" i="3" s="1"/>
  <c r="M179" i="3"/>
  <c r="M183" i="3" s="1"/>
  <c r="L179" i="3"/>
  <c r="K179" i="3"/>
  <c r="G179" i="3"/>
  <c r="Q189" i="3"/>
  <c r="Q192" i="3" s="1"/>
  <c r="M189" i="3"/>
  <c r="M192" i="3" s="1"/>
  <c r="L189" i="3"/>
  <c r="K189" i="3"/>
  <c r="G189" i="3"/>
  <c r="Q193" i="3"/>
  <c r="Q196" i="3" s="1"/>
  <c r="M193" i="3"/>
  <c r="M196" i="3" s="1"/>
  <c r="L193" i="3"/>
  <c r="K193" i="3"/>
  <c r="G193" i="3"/>
  <c r="Q202" i="3"/>
  <c r="Q205" i="3" s="1"/>
  <c r="M202" i="3"/>
  <c r="M205" i="3" s="1"/>
  <c r="L202" i="3"/>
  <c r="K202" i="3"/>
  <c r="G202" i="3"/>
  <c r="Q211" i="3"/>
  <c r="Q214" i="3" s="1"/>
  <c r="M211" i="3"/>
  <c r="M214" i="3" s="1"/>
  <c r="L211" i="3"/>
  <c r="K211" i="3"/>
  <c r="G211" i="3"/>
  <c r="Q227" i="3"/>
  <c r="Q232" i="3" s="1"/>
  <c r="M227" i="3"/>
  <c r="M232" i="3" s="1"/>
  <c r="L227" i="3"/>
  <c r="K227" i="3"/>
  <c r="G227" i="3"/>
  <c r="Q233" i="3"/>
  <c r="Q236" i="3" s="1"/>
  <c r="M233" i="3"/>
  <c r="M236" i="3" s="1"/>
  <c r="L233" i="3"/>
  <c r="K233" i="3"/>
  <c r="G233" i="3"/>
  <c r="Q247" i="3"/>
  <c r="Q252" i="3" s="1"/>
  <c r="M247" i="3"/>
  <c r="M252" i="3" s="1"/>
  <c r="L247" i="3"/>
  <c r="K247" i="3"/>
  <c r="G247" i="3"/>
  <c r="Q253" i="3"/>
  <c r="Q257" i="3" s="1"/>
  <c r="M253" i="3"/>
  <c r="M257" i="3" s="1"/>
  <c r="L253" i="3"/>
  <c r="K253" i="3"/>
  <c r="G253" i="3"/>
  <c r="Q258" i="3"/>
  <c r="Q262" i="3" s="1"/>
  <c r="M258" i="3"/>
  <c r="M262" i="3" s="1"/>
  <c r="L258" i="3"/>
  <c r="K258" i="3"/>
  <c r="G258" i="3"/>
  <c r="Q281" i="3"/>
  <c r="Q284" i="3" s="1"/>
  <c r="M281" i="3"/>
  <c r="M284" i="3" s="1"/>
  <c r="L281" i="3"/>
  <c r="K281" i="3"/>
  <c r="G281" i="3"/>
  <c r="Q290" i="3"/>
  <c r="Q293" i="3" s="1"/>
  <c r="M290" i="3"/>
  <c r="M293" i="3" s="1"/>
  <c r="L290" i="3"/>
  <c r="K290" i="3"/>
  <c r="G290" i="3"/>
  <c r="Q302" i="3"/>
  <c r="Q305" i="3" s="1"/>
  <c r="M302" i="3"/>
  <c r="M305" i="3" s="1"/>
  <c r="L302" i="3"/>
  <c r="K302" i="3"/>
  <c r="G302" i="3"/>
  <c r="Q112" i="3" l="1"/>
  <c r="M107" i="3"/>
  <c r="E353" i="3"/>
  <c r="O15" i="3" s="1"/>
  <c r="R233" i="3"/>
  <c r="R236" i="3" s="1"/>
  <c r="R169" i="3"/>
  <c r="R172" i="3" s="1"/>
  <c r="R142" i="3"/>
  <c r="R145" i="3" s="1"/>
  <c r="Q145" i="3"/>
  <c r="R138" i="3"/>
  <c r="R141" i="3" s="1"/>
  <c r="R275" i="3"/>
  <c r="R278" i="3" s="1"/>
  <c r="R267" i="3"/>
  <c r="R270" i="3" s="1"/>
  <c r="R263" i="3"/>
  <c r="R266" i="3" s="1"/>
  <c r="R108" i="3"/>
  <c r="R68" i="3"/>
  <c r="R71" i="3" s="1"/>
  <c r="R64" i="3"/>
  <c r="R67" i="3" s="1"/>
  <c r="R237" i="3"/>
  <c r="R240" i="3" s="1"/>
  <c r="R290" i="3"/>
  <c r="R293" i="3" s="1"/>
  <c r="R159" i="3"/>
  <c r="R163" i="3" s="1"/>
  <c r="R123" i="3"/>
  <c r="R126" i="3" s="1"/>
  <c r="R294" i="3"/>
  <c r="R297" i="3" s="1"/>
  <c r="R281" i="3"/>
  <c r="R284" i="3" s="1"/>
  <c r="R271" i="3"/>
  <c r="R274" i="3" s="1"/>
  <c r="R258" i="3"/>
  <c r="R262" i="3" s="1"/>
  <c r="R211" i="3"/>
  <c r="R214" i="3" s="1"/>
  <c r="R189" i="3"/>
  <c r="R192" i="3" s="1"/>
  <c r="R184" i="3"/>
  <c r="R188" i="3" s="1"/>
  <c r="R179" i="3"/>
  <c r="R183" i="3" s="1"/>
  <c r="R173" i="3"/>
  <c r="R176" i="3" s="1"/>
  <c r="R151" i="3"/>
  <c r="R154" i="3" s="1"/>
  <c r="R134" i="3"/>
  <c r="R137" i="3" s="1"/>
  <c r="R72" i="3"/>
  <c r="R78" i="3" s="1"/>
  <c r="R55" i="3"/>
  <c r="R58" i="3" s="1"/>
  <c r="R51" i="3"/>
  <c r="R54" i="3" s="1"/>
  <c r="R11" i="3"/>
  <c r="R15" i="3" s="1"/>
  <c r="R27" i="3"/>
  <c r="R31" i="3" s="1"/>
  <c r="R202" i="3"/>
  <c r="R205" i="3" s="1"/>
  <c r="R164" i="3"/>
  <c r="R168" i="3" s="1"/>
  <c r="R146" i="3"/>
  <c r="R150" i="3" s="1"/>
  <c r="R127" i="3"/>
  <c r="R131" i="3" s="1"/>
  <c r="R47" i="3"/>
  <c r="R50" i="3" s="1"/>
  <c r="R37" i="3"/>
  <c r="R40" i="3" s="1"/>
  <c r="R253" i="3"/>
  <c r="R257" i="3" s="1"/>
  <c r="R247" i="3"/>
  <c r="R220" i="3"/>
  <c r="R224" i="3" s="1"/>
  <c r="R193" i="3"/>
  <c r="R196" i="3" s="1"/>
  <c r="R155" i="3"/>
  <c r="R158" i="3" s="1"/>
  <c r="R97" i="3"/>
  <c r="R101" i="3" s="1"/>
  <c r="R85" i="3"/>
  <c r="R90" i="3" s="1"/>
  <c r="R43" i="3"/>
  <c r="R46" i="3" s="1"/>
  <c r="R32" i="3"/>
  <c r="R36" i="3" s="1"/>
  <c r="R302" i="3"/>
  <c r="R305" i="3" s="1"/>
  <c r="R227" i="3"/>
  <c r="R232" i="3" s="1"/>
  <c r="R248" i="3"/>
  <c r="R207" i="3"/>
  <c r="R198" i="3"/>
  <c r="R119" i="3"/>
  <c r="R109" i="3"/>
  <c r="R18" i="3"/>
  <c r="R17" i="3"/>
  <c r="R103" i="3"/>
  <c r="R107" i="3" s="1"/>
  <c r="S427" i="3"/>
  <c r="R112" i="3" l="1"/>
  <c r="R252" i="3"/>
  <c r="C344" i="3"/>
  <c r="Q298" i="3" l="1"/>
  <c r="Q301" i="3" s="1"/>
  <c r="M298" i="3"/>
  <c r="M301" i="3" s="1"/>
  <c r="L298" i="3"/>
  <c r="K298" i="3"/>
  <c r="G298" i="3"/>
  <c r="Q285" i="3"/>
  <c r="Q289" i="3" s="1"/>
  <c r="M285" i="3"/>
  <c r="M289" i="3" s="1"/>
  <c r="L285" i="3"/>
  <c r="K285" i="3"/>
  <c r="G285" i="3"/>
  <c r="Q241" i="3"/>
  <c r="Q246" i="3" s="1"/>
  <c r="M241" i="3"/>
  <c r="M246" i="3" s="1"/>
  <c r="L241" i="3"/>
  <c r="K241" i="3"/>
  <c r="G241" i="3"/>
  <c r="Q215" i="3"/>
  <c r="Q219" i="3" s="1"/>
  <c r="M215" i="3"/>
  <c r="M219" i="3" s="1"/>
  <c r="L215" i="3"/>
  <c r="K215" i="3"/>
  <c r="G215" i="3"/>
  <c r="Q206" i="3"/>
  <c r="Q210" i="3" s="1"/>
  <c r="M206" i="3"/>
  <c r="M210" i="3" s="1"/>
  <c r="L206" i="3"/>
  <c r="K206" i="3"/>
  <c r="G206" i="3"/>
  <c r="Q197" i="3"/>
  <c r="Q201" i="3" s="1"/>
  <c r="M197" i="3"/>
  <c r="M201" i="3" s="1"/>
  <c r="L197" i="3"/>
  <c r="K197" i="3"/>
  <c r="G197" i="3"/>
  <c r="Q118" i="3"/>
  <c r="Q122" i="3" s="1"/>
  <c r="M118" i="3"/>
  <c r="M122" i="3" s="1"/>
  <c r="L118" i="3"/>
  <c r="K118" i="3"/>
  <c r="G118" i="3"/>
  <c r="Q113" i="3"/>
  <c r="Q117" i="3" s="1"/>
  <c r="M113" i="3"/>
  <c r="M117" i="3" s="1"/>
  <c r="L113" i="3"/>
  <c r="K113" i="3"/>
  <c r="G113" i="3"/>
  <c r="Q91" i="3"/>
  <c r="Q96" i="3" s="1"/>
  <c r="M91" i="3"/>
  <c r="M96" i="3" s="1"/>
  <c r="L91" i="3"/>
  <c r="K91" i="3"/>
  <c r="G91" i="3"/>
  <c r="Q79" i="3"/>
  <c r="Q82" i="3" s="1"/>
  <c r="M79" i="3"/>
  <c r="M82" i="3" s="1"/>
  <c r="L79" i="3"/>
  <c r="K79" i="3"/>
  <c r="G79" i="3"/>
  <c r="Q16" i="3"/>
  <c r="Q21" i="3" s="1"/>
  <c r="M16" i="3"/>
  <c r="M21" i="3" s="1"/>
  <c r="K16" i="3"/>
  <c r="G16" i="3"/>
  <c r="R298" i="3" l="1"/>
  <c r="R301" i="3" s="1"/>
  <c r="R79" i="3"/>
  <c r="R82" i="3" s="1"/>
  <c r="R118" i="3"/>
  <c r="R122" i="3" s="1"/>
  <c r="R197" i="3"/>
  <c r="R201" i="3" s="1"/>
  <c r="R206" i="3"/>
  <c r="R210" i="3" s="1"/>
  <c r="R241" i="3"/>
  <c r="R246" i="3" s="1"/>
  <c r="R16" i="3"/>
  <c r="R21" i="3" s="1"/>
  <c r="R91" i="3"/>
  <c r="R96" i="3" s="1"/>
  <c r="R113" i="3"/>
  <c r="R117" i="3" s="1"/>
  <c r="R215" i="3"/>
  <c r="R219" i="3" s="1"/>
  <c r="R285" i="3"/>
  <c r="R289" i="3" s="1"/>
  <c r="D63" i="7" l="1"/>
  <c r="D64" i="7"/>
  <c r="E311" i="3" s="1"/>
  <c r="E309" i="3" l="1"/>
  <c r="Q59" i="3"/>
  <c r="M59" i="3"/>
  <c r="L59" i="3"/>
  <c r="K59" i="3"/>
  <c r="G59" i="3"/>
  <c r="M63" i="3" l="1"/>
  <c r="M344" i="3" s="1"/>
  <c r="E351" i="3" s="1"/>
  <c r="O13" i="3" s="1"/>
  <c r="Q63" i="3"/>
  <c r="Q344" i="3" s="1"/>
  <c r="R59" i="3"/>
  <c r="U442" i="3"/>
  <c r="U441" i="3"/>
  <c r="U440" i="3"/>
  <c r="U439" i="3"/>
  <c r="U438" i="3"/>
  <c r="U437" i="3"/>
  <c r="U435" i="3"/>
  <c r="U433" i="3"/>
  <c r="U432" i="3"/>
  <c r="U431" i="3"/>
  <c r="U428" i="3"/>
  <c r="U427" i="3"/>
  <c r="R63" i="3" l="1"/>
  <c r="R344" i="3" s="1"/>
  <c r="E354" i="3" s="1"/>
  <c r="O16" i="3" s="1"/>
  <c r="E270" i="3"/>
  <c r="E289" i="3" l="1"/>
  <c r="D15" i="3" l="1"/>
  <c r="D305" i="3" l="1"/>
  <c r="D301" i="3"/>
  <c r="D297" i="3"/>
  <c r="D293" i="3"/>
  <c r="D289" i="3"/>
  <c r="D284" i="3"/>
  <c r="D278" i="3"/>
  <c r="D274" i="3"/>
  <c r="D270" i="3"/>
  <c r="D266" i="3"/>
  <c r="D262" i="3"/>
  <c r="D257" i="3"/>
  <c r="D252" i="3"/>
  <c r="D246" i="3"/>
  <c r="D240" i="3"/>
  <c r="D236" i="3"/>
  <c r="D232" i="3"/>
  <c r="D224" i="3"/>
  <c r="D219" i="3"/>
  <c r="D214" i="3"/>
  <c r="D210" i="3"/>
  <c r="D205" i="3"/>
  <c r="D201" i="3"/>
  <c r="D196" i="3"/>
  <c r="D192" i="3"/>
  <c r="D188" i="3"/>
  <c r="D183" i="3"/>
  <c r="D176" i="3"/>
  <c r="D172" i="3"/>
  <c r="D168" i="3"/>
  <c r="D163" i="3"/>
  <c r="D158" i="3"/>
  <c r="D154" i="3"/>
  <c r="D150" i="3"/>
  <c r="D145" i="3"/>
  <c r="D141" i="3"/>
  <c r="D137" i="3"/>
  <c r="D131" i="3"/>
  <c r="D126" i="3"/>
  <c r="D122" i="3"/>
  <c r="D117" i="3"/>
  <c r="D112" i="3"/>
  <c r="D107" i="3"/>
  <c r="D101" i="3"/>
  <c r="D96" i="3"/>
  <c r="D90" i="3"/>
  <c r="D82" i="3"/>
  <c r="D78" i="3"/>
  <c r="D71" i="3"/>
  <c r="D67" i="3"/>
  <c r="D63" i="3"/>
  <c r="D58" i="3"/>
  <c r="D54" i="3"/>
  <c r="D50" i="3"/>
  <c r="D46" i="3"/>
  <c r="D40" i="3"/>
  <c r="D36" i="3"/>
  <c r="D31" i="3"/>
  <c r="D26" i="3"/>
  <c r="D21" i="3"/>
  <c r="D57" i="7"/>
  <c r="D58" i="7"/>
  <c r="D59" i="7"/>
  <c r="D60" i="7"/>
  <c r="D61" i="7"/>
  <c r="D344" i="3" l="1"/>
  <c r="O12" i="3" s="1"/>
  <c r="E305" i="3"/>
  <c r="E301" i="3"/>
  <c r="E297" i="3"/>
  <c r="E293" i="3"/>
  <c r="E284" i="3" l="1"/>
  <c r="E274" i="3"/>
  <c r="E278" i="3" l="1"/>
  <c r="D53" i="7" l="1"/>
  <c r="D54" i="7"/>
  <c r="D55" i="7"/>
  <c r="D56" i="7"/>
  <c r="D51" i="7" l="1"/>
  <c r="D52" i="7"/>
  <c r="E266" i="3" l="1"/>
  <c r="E262" i="3"/>
  <c r="D50" i="7" l="1"/>
  <c r="E257" i="3" l="1"/>
  <c r="E154" i="3" l="1"/>
  <c r="E252" i="3" l="1"/>
  <c r="E246" i="3"/>
  <c r="E240" i="3"/>
  <c r="E236" i="3"/>
  <c r="E232" i="3"/>
  <c r="E224" i="3"/>
  <c r="E219" i="3"/>
  <c r="E214" i="3"/>
  <c r="D42" i="7"/>
  <c r="D43" i="7"/>
  <c r="D44" i="7"/>
  <c r="D45" i="7"/>
  <c r="D46" i="7"/>
  <c r="D47" i="7"/>
  <c r="D48" i="7"/>
  <c r="D49" i="7"/>
  <c r="E205" i="3" l="1"/>
  <c r="D40" i="7" l="1"/>
  <c r="D41" i="7"/>
  <c r="E210" i="3"/>
  <c r="E122" i="3" l="1"/>
  <c r="E201" i="3"/>
  <c r="E196" i="3"/>
  <c r="E192" i="3"/>
  <c r="E188" i="3"/>
  <c r="E183" i="3"/>
  <c r="E176" i="3" l="1"/>
  <c r="D34" i="7" l="1"/>
  <c r="D35" i="7"/>
  <c r="D36" i="7"/>
  <c r="D37" i="7"/>
  <c r="D38" i="7"/>
  <c r="D39" i="7"/>
  <c r="E172" i="3" l="1"/>
  <c r="E168" i="3" l="1"/>
  <c r="E158" i="3"/>
  <c r="E163" i="3"/>
  <c r="D30" i="7"/>
  <c r="D31" i="7"/>
  <c r="D32" i="7"/>
  <c r="D33" i="7"/>
  <c r="E141" i="3" l="1"/>
  <c r="E137" i="3" l="1"/>
  <c r="E131" i="3"/>
  <c r="D29" i="7" l="1"/>
  <c r="E117" i="3" l="1"/>
  <c r="E126" i="3"/>
  <c r="E112" i="3" l="1"/>
  <c r="D20" i="7" l="1"/>
  <c r="D21" i="7"/>
  <c r="D22" i="7"/>
  <c r="D23" i="7"/>
  <c r="D24" i="7"/>
  <c r="D25" i="7"/>
  <c r="D26" i="7"/>
  <c r="D27" i="7"/>
  <c r="D28" i="7"/>
  <c r="E107" i="3" l="1"/>
  <c r="D19" i="7"/>
  <c r="E101" i="3" l="1"/>
  <c r="D18" i="7"/>
  <c r="E82" i="3" l="1"/>
  <c r="E78" i="3" l="1"/>
  <c r="E71" i="3"/>
  <c r="E67" i="3"/>
  <c r="E63" i="3"/>
  <c r="E96" i="3"/>
  <c r="E90" i="3"/>
  <c r="D15" i="7"/>
  <c r="D16" i="7"/>
  <c r="D17" i="7"/>
  <c r="D1" i="7" l="1"/>
  <c r="D2" i="7"/>
  <c r="D3" i="7"/>
  <c r="D4" i="7"/>
  <c r="D5" i="7"/>
  <c r="D6" i="7"/>
  <c r="D7" i="7"/>
  <c r="D8" i="7"/>
  <c r="D9" i="7"/>
  <c r="D10" i="7"/>
  <c r="D12" i="7"/>
  <c r="D13" i="7"/>
  <c r="D14" i="7"/>
  <c r="D11" i="7"/>
  <c r="D78" i="7" l="1"/>
  <c r="E21" i="3"/>
  <c r="E31" i="3" l="1"/>
  <c r="E50" i="3"/>
  <c r="E46" i="3" l="1"/>
  <c r="E58" i="3"/>
  <c r="E54" i="3"/>
  <c r="E26" i="3" l="1"/>
  <c r="E15" i="3" l="1"/>
  <c r="E150" i="3"/>
  <c r="E40" i="3"/>
  <c r="E36" i="3"/>
  <c r="E145" i="3" l="1"/>
  <c r="E344" i="3" s="1"/>
  <c r="E350" i="3" l="1"/>
  <c r="O11" i="3" s="1"/>
  <c r="E35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Q1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9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P23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см. Письмо №760-15-75 в адрес Семушина В.Н. от 17.03.2026</t>
        </r>
      </text>
    </comment>
    <comment ref="Q23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P24" authorId="0" shapeId="0" xr:uid="{00000000-0006-0000-0000-00000D000000}">
      <text>
        <r>
          <rPr>
            <b/>
            <sz val="9"/>
            <color rgb="FF000000"/>
            <rFont val="Tahoma"/>
            <family val="2"/>
            <charset val="204"/>
          </rPr>
          <t>см. Письмо №760-15-75 в адрес Семушина В.Н. от 17.03.2026</t>
        </r>
      </text>
    </comment>
    <comment ref="Q24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7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28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2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3" authorId="0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4" authorId="0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5" authorId="0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7" authorId="0" shapeId="0" xr:uid="{00000000-0006-0000-0000-00001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8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9" authorId="0" shapeId="0" xr:uid="{00000000-0006-0000-0000-00001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43" authorId="0" shapeId="0" xr:uid="{00000000-0006-0000-0000-00001B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44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45" authorId="0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47" authorId="0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48" authorId="0" shapeId="0" xr:uid="{00000000-0006-0000-0000-00001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49" authorId="0" shapeId="0" xr:uid="{00000000-0006-0000-0000-00002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1" authorId="0" shapeId="0" xr:uid="{00000000-0006-0000-0000-00002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2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3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5" authorId="0" shapeId="0" xr:uid="{00000000-0006-0000-0000-00002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6" authorId="0" shapeId="0" xr:uid="{00000000-0006-0000-0000-00002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7" authorId="0" shapeId="0" xr:uid="{00000000-0006-0000-0000-00002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59" authorId="0" shapeId="0" xr:uid="{00000000-0006-0000-0000-00002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0" authorId="0" shapeId="0" xr:uid="{00000000-0006-0000-0000-00002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1" authorId="0" shapeId="0" xr:uid="{00000000-0006-0000-0000-00002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2" authorId="0" shapeId="0" xr:uid="{00000000-0006-0000-0000-00002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4" authorId="0" shapeId="0" xr:uid="{00000000-0006-0000-0000-00002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5" authorId="0" shapeId="0" xr:uid="{00000000-0006-0000-0000-00002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6" authorId="0" shapeId="0" xr:uid="{00000000-0006-0000-0000-00002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8" authorId="0" shapeId="0" xr:uid="{00000000-0006-0000-0000-00002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69" authorId="0" shapeId="0" xr:uid="{00000000-0006-0000-0000-00002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70" authorId="0" shapeId="0" xr:uid="{00000000-0006-0000-0000-00003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72" authorId="0" shapeId="0" xr:uid="{00000000-0006-0000-0000-00003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73" authorId="0" shapeId="0" xr:uid="{00000000-0006-0000-0000-00003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74" authorId="0" shapeId="0" xr:uid="{00000000-0006-0000-0000-000033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75" authorId="0" shapeId="0" xr:uid="{00000000-0006-0000-0000-000034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76" authorId="0" shapeId="0" xr:uid="{00000000-0006-0000-0000-00003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77" authorId="0" shapeId="0" xr:uid="{00000000-0006-0000-0000-00003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79" authorId="0" shapeId="0" xr:uid="{00000000-0006-0000-0000-00003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80" authorId="0" shapeId="0" xr:uid="{00000000-0006-0000-0000-00003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81" authorId="0" shapeId="0" xr:uid="{00000000-0006-0000-0000-00003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85" authorId="0" shapeId="0" xr:uid="{00000000-0006-0000-0000-00003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86" authorId="0" shapeId="0" xr:uid="{00000000-0006-0000-0000-00003B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87" authorId="0" shapeId="0" xr:uid="{00000000-0006-0000-0000-00003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88" authorId="0" shapeId="0" xr:uid="{00000000-0006-0000-0000-00003D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89" authorId="0" shapeId="0" xr:uid="{00000000-0006-0000-0000-00003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1" authorId="0" shapeId="0" xr:uid="{00000000-0006-0000-0000-00003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2" authorId="0" shapeId="0" xr:uid="{00000000-0006-0000-0000-000040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93" authorId="0" shapeId="0" xr:uid="{00000000-0006-0000-0000-00004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4" authorId="0" shapeId="0" xr:uid="{00000000-0006-0000-0000-00004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5" authorId="0" shapeId="0" xr:uid="{00000000-0006-0000-0000-00004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7" authorId="0" shapeId="0" xr:uid="{00000000-0006-0000-0000-00004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8" authorId="0" shapeId="0" xr:uid="{00000000-0006-0000-0000-00004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99" authorId="0" shapeId="0" xr:uid="{00000000-0006-0000-0000-00004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00" authorId="0" shapeId="0" xr:uid="{00000000-0006-0000-0000-00004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02" authorId="0" shapeId="0" xr:uid="{00000000-0006-0000-0000-000048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03" authorId="0" shapeId="0" xr:uid="{00000000-0006-0000-0000-00004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04" authorId="0" shapeId="0" xr:uid="{00000000-0006-0000-0000-00004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05" authorId="0" shapeId="0" xr:uid="{00000000-0006-0000-0000-00004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06" authorId="0" shapeId="0" xr:uid="{00000000-0006-0000-0000-00004C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108" authorId="0" shapeId="0" xr:uid="{00000000-0006-0000-0000-00004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09" authorId="0" shapeId="0" xr:uid="{00000000-0006-0000-0000-00004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10" authorId="0" shapeId="0" xr:uid="{00000000-0006-0000-0000-00004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R110" authorId="0" shapeId="0" xr:uid="{00000000-0006-0000-0000-000050000000}">
      <text>
        <r>
          <rPr>
            <b/>
            <sz val="9"/>
            <color indexed="81"/>
            <rFont val="Tahoma"/>
            <family val="2"/>
            <charset val="204"/>
          </rPr>
          <t>Акт на подписи!</t>
        </r>
      </text>
    </comment>
    <comment ref="Q111" authorId="0" shapeId="0" xr:uid="{00000000-0006-0000-0000-000051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13" authorId="0" shapeId="0" xr:uid="{00000000-0006-0000-0000-00005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14" authorId="0" shapeId="0" xr:uid="{00000000-0006-0000-0000-00005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15" authorId="0" shapeId="0" xr:uid="{00000000-0006-0000-0000-00005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16" authorId="0" shapeId="0" xr:uid="{00000000-0006-0000-0000-00005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18" authorId="0" shapeId="0" xr:uid="{00000000-0006-0000-0000-00005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19" authorId="0" shapeId="0" xr:uid="{00000000-0006-0000-0000-00005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0" authorId="0" shapeId="0" xr:uid="{00000000-0006-0000-0000-00005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1" authorId="0" shapeId="0" xr:uid="{00000000-0006-0000-0000-00005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3" authorId="0" shapeId="0" xr:uid="{00000000-0006-0000-0000-00005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4" authorId="0" shapeId="0" xr:uid="{00000000-0006-0000-0000-00005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5" authorId="0" shapeId="0" xr:uid="{00000000-0006-0000-0000-00005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7" authorId="0" shapeId="0" xr:uid="{00000000-0006-0000-0000-00005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8" authorId="0" shapeId="0" xr:uid="{00000000-0006-0000-0000-00005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9" authorId="0" shapeId="0" xr:uid="{00000000-0006-0000-0000-00005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0" authorId="0" shapeId="0" xr:uid="{00000000-0006-0000-0000-00006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4" authorId="0" shapeId="0" xr:uid="{00000000-0006-0000-0000-00006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5" authorId="0" shapeId="0" xr:uid="{00000000-0006-0000-0000-000062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136" authorId="0" shapeId="0" xr:uid="{00000000-0006-0000-0000-00006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8" authorId="0" shapeId="0" xr:uid="{00000000-0006-0000-0000-00006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9" authorId="0" shapeId="0" xr:uid="{00000000-0006-0000-0000-00006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0" authorId="0" shapeId="0" xr:uid="{00000000-0006-0000-0000-00006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2" authorId="0" shapeId="0" xr:uid="{00000000-0006-0000-0000-00006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3" authorId="0" shapeId="0" xr:uid="{00000000-0006-0000-0000-000068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44" authorId="0" shapeId="0" xr:uid="{00000000-0006-0000-0000-00006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6" authorId="0" shapeId="0" xr:uid="{00000000-0006-0000-0000-00006A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147" authorId="0" shapeId="0" xr:uid="{00000000-0006-0000-0000-00006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8" authorId="0" shapeId="0" xr:uid="{00000000-0006-0000-0000-00006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49" authorId="0" shapeId="0" xr:uid="{00000000-0006-0000-0000-00006D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51" authorId="0" shapeId="0" xr:uid="{00000000-0006-0000-0000-00006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52" authorId="0" shapeId="0" xr:uid="{00000000-0006-0000-0000-00006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53" authorId="0" shapeId="0" xr:uid="{00000000-0006-0000-0000-00007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55" authorId="0" shapeId="0" xr:uid="{00000000-0006-0000-0000-00007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56" authorId="0" shapeId="0" xr:uid="{00000000-0006-0000-0000-000072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157" authorId="0" shapeId="0" xr:uid="{00000000-0006-0000-0000-00007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59" authorId="0" shapeId="0" xr:uid="{00000000-0006-0000-0000-00007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0" authorId="0" shapeId="0" xr:uid="{00000000-0006-0000-0000-00007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1" authorId="0" shapeId="0" xr:uid="{00000000-0006-0000-0000-000076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162" authorId="0" shapeId="0" xr:uid="{00000000-0006-0000-0000-00007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4" authorId="0" shapeId="0" xr:uid="{00000000-0006-0000-0000-00007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5" authorId="0" shapeId="0" xr:uid="{00000000-0006-0000-0000-00007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6" authorId="0" shapeId="0" xr:uid="{00000000-0006-0000-0000-00007A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Q167" authorId="0" shapeId="0" xr:uid="{00000000-0006-0000-0000-00007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9" authorId="0" shapeId="0" xr:uid="{00000000-0006-0000-0000-00007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0" authorId="0" shapeId="0" xr:uid="{00000000-0006-0000-0000-00007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1" authorId="0" shapeId="0" xr:uid="{00000000-0006-0000-0000-00007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3" authorId="0" shapeId="0" xr:uid="{00000000-0006-0000-0000-00007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4" authorId="0" shapeId="0" xr:uid="{00000000-0006-0000-0000-00008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5" authorId="0" shapeId="0" xr:uid="{00000000-0006-0000-0000-00008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9" authorId="0" shapeId="0" xr:uid="{00000000-0006-0000-0000-00008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0" authorId="0" shapeId="0" xr:uid="{00000000-0006-0000-0000-00008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1" authorId="0" shapeId="0" xr:uid="{00000000-0006-0000-0000-000084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82" authorId="0" shapeId="0" xr:uid="{00000000-0006-0000-0000-00008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4" authorId="0" shapeId="0" xr:uid="{00000000-0006-0000-0000-00008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5" authorId="0" shapeId="0" xr:uid="{00000000-0006-0000-0000-00008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6" authorId="0" shapeId="0" xr:uid="{00000000-0006-0000-0000-00008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7" authorId="0" shapeId="0" xr:uid="{00000000-0006-0000-0000-000089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89" authorId="0" shapeId="0" xr:uid="{00000000-0006-0000-0000-00008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0" authorId="0" shapeId="0" xr:uid="{00000000-0006-0000-0000-00008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1" authorId="0" shapeId="0" xr:uid="{00000000-0006-0000-0000-00008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3" authorId="0" shapeId="0" xr:uid="{00000000-0006-0000-0000-00008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4" authorId="0" shapeId="0" xr:uid="{00000000-0006-0000-0000-00008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5" authorId="0" shapeId="0" xr:uid="{00000000-0006-0000-0000-00008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7" authorId="0" shapeId="0" xr:uid="{00000000-0006-0000-0000-00009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8" authorId="0" shapeId="0" xr:uid="{00000000-0006-0000-0000-00009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99" authorId="0" shapeId="0" xr:uid="{00000000-0006-0000-0000-00009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0" authorId="0" shapeId="0" xr:uid="{00000000-0006-0000-0000-00009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2" authorId="0" shapeId="0" xr:uid="{00000000-0006-0000-0000-00009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3" authorId="0" shapeId="0" xr:uid="{00000000-0006-0000-0000-00009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4" authorId="0" shapeId="0" xr:uid="{00000000-0006-0000-0000-00009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6" authorId="0" shapeId="0" xr:uid="{00000000-0006-0000-0000-00009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7" authorId="0" shapeId="0" xr:uid="{00000000-0006-0000-0000-00009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8" authorId="0" shapeId="0" xr:uid="{00000000-0006-0000-0000-00009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9" authorId="0" shapeId="0" xr:uid="{00000000-0006-0000-0000-00009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1" authorId="0" shapeId="0" xr:uid="{00000000-0006-0000-0000-00009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2" authorId="0" shapeId="0" xr:uid="{00000000-0006-0000-0000-00009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3" authorId="0" shapeId="0" xr:uid="{00000000-0006-0000-0000-00009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5" authorId="0" shapeId="0" xr:uid="{00000000-0006-0000-0000-00009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6" authorId="0" shapeId="0" xr:uid="{00000000-0006-0000-0000-00009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7" authorId="0" shapeId="0" xr:uid="{00000000-0006-0000-0000-0000A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8" authorId="0" shapeId="0" xr:uid="{00000000-0006-0000-0000-0000A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0" authorId="0" shapeId="0" xr:uid="{00000000-0006-0000-0000-0000A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1" authorId="0" shapeId="0" xr:uid="{00000000-0006-0000-0000-0000A3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22" authorId="0" shapeId="0" xr:uid="{00000000-0006-0000-0000-0000A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3" authorId="0" shapeId="0" xr:uid="{00000000-0006-0000-0000-0000A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7" authorId="0" shapeId="0" xr:uid="{00000000-0006-0000-0000-0000A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8" authorId="0" shapeId="0" xr:uid="{00000000-0006-0000-0000-0000A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9" authorId="0" shapeId="0" xr:uid="{00000000-0006-0000-0000-0000A8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30" authorId="0" shapeId="0" xr:uid="{00000000-0006-0000-0000-0000A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1" authorId="0" shapeId="0" xr:uid="{00000000-0006-0000-0000-0000A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3" authorId="0" shapeId="0" xr:uid="{00000000-0006-0000-0000-0000A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4" authorId="0" shapeId="0" xr:uid="{00000000-0006-0000-0000-0000A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5" authorId="0" shapeId="0" xr:uid="{00000000-0006-0000-0000-0000A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7" authorId="0" shapeId="0" xr:uid="{00000000-0006-0000-0000-0000A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8" authorId="0" shapeId="0" xr:uid="{00000000-0006-0000-0000-0000A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39" authorId="0" shapeId="0" xr:uid="{00000000-0006-0000-0000-0000B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1" authorId="0" shapeId="0" xr:uid="{00000000-0006-0000-0000-0000B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2" authorId="0" shapeId="0" xr:uid="{00000000-0006-0000-0000-0000B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3" authorId="0" shapeId="0" xr:uid="{00000000-0006-0000-0000-0000B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4" authorId="0" shapeId="0" xr:uid="{00000000-0006-0000-0000-0000B4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45" authorId="0" shapeId="0" xr:uid="{00000000-0006-0000-0000-0000B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7" authorId="0" shapeId="0" xr:uid="{00000000-0006-0000-0000-0000B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8" authorId="0" shapeId="0" xr:uid="{00000000-0006-0000-0000-0000B7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49" authorId="0" shapeId="0" xr:uid="{00000000-0006-0000-0000-0000B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0" authorId="0" shapeId="0" xr:uid="{00000000-0006-0000-0000-0000B9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51" authorId="0" shapeId="0" xr:uid="{00000000-0006-0000-0000-0000B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3" authorId="0" shapeId="0" xr:uid="{00000000-0006-0000-0000-0000B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4" authorId="0" shapeId="0" xr:uid="{00000000-0006-0000-0000-0000BC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55" authorId="0" shapeId="0" xr:uid="{00000000-0006-0000-0000-0000B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6" authorId="0" shapeId="0" xr:uid="{00000000-0006-0000-0000-0000B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8" authorId="0" shapeId="0" xr:uid="{00000000-0006-0000-0000-0000B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9" authorId="0" shapeId="0" xr:uid="{00000000-0006-0000-0000-0000C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0" authorId="0" shapeId="0" xr:uid="{00000000-0006-0000-0000-0000C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1" authorId="0" shapeId="0" xr:uid="{00000000-0006-0000-0000-0000C2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63" authorId="0" shapeId="0" xr:uid="{00000000-0006-0000-0000-0000C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4" authorId="0" shapeId="0" xr:uid="{00000000-0006-0000-0000-0000C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5" authorId="0" shapeId="0" xr:uid="{00000000-0006-0000-0000-0000C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7" authorId="0" shapeId="0" xr:uid="{00000000-0006-0000-0000-0000C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8" authorId="0" shapeId="0" xr:uid="{00000000-0006-0000-0000-0000C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9" authorId="0" shapeId="0" xr:uid="{00000000-0006-0000-0000-0000C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71" authorId="0" shapeId="0" xr:uid="{00000000-0006-0000-0000-0000C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72" authorId="0" shapeId="0" xr:uid="{00000000-0006-0000-0000-0000C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73" authorId="0" shapeId="0" xr:uid="{00000000-0006-0000-0000-0000C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75" authorId="0" shapeId="0" xr:uid="{00000000-0006-0000-0000-0000C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76" authorId="0" shapeId="0" xr:uid="{00000000-0006-0000-0000-0000C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R276" authorId="0" shapeId="0" xr:uid="{00000000-0006-0000-0000-0000CE000000}">
      <text>
        <r>
          <rPr>
            <b/>
            <sz val="9"/>
            <color indexed="81"/>
            <rFont val="Tahoma"/>
            <family val="2"/>
            <charset val="204"/>
          </rPr>
          <t>Акт на подписи!</t>
        </r>
      </text>
    </comment>
    <comment ref="Q277" authorId="0" shapeId="0" xr:uid="{00000000-0006-0000-0000-0000C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R277" authorId="0" shapeId="0" xr:uid="{00000000-0006-0000-0000-0000D0000000}">
      <text>
        <r>
          <rPr>
            <b/>
            <sz val="9"/>
            <color indexed="81"/>
            <rFont val="Tahoma"/>
            <family val="2"/>
            <charset val="204"/>
          </rPr>
          <t>Акт на подписи!</t>
        </r>
      </text>
    </comment>
    <comment ref="Q281" authorId="0" shapeId="0" xr:uid="{00000000-0006-0000-0000-0000D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82" authorId="0" shapeId="0" xr:uid="{00000000-0006-0000-0000-0000D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83" authorId="0" shapeId="0" xr:uid="{00000000-0006-0000-0000-0000D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85" authorId="0" shapeId="0" xr:uid="{00000000-0006-0000-0000-0000D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86" authorId="0" shapeId="0" xr:uid="{00000000-0006-0000-0000-0000D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87" authorId="0" shapeId="0" xr:uid="{00000000-0006-0000-0000-0000D6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288" authorId="0" shapeId="0" xr:uid="{00000000-0006-0000-0000-0000D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0" authorId="0" shapeId="0" xr:uid="{00000000-0006-0000-0000-0000D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1" authorId="0" shapeId="0" xr:uid="{00000000-0006-0000-0000-0000D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2" authorId="0" shapeId="0" xr:uid="{00000000-0006-0000-0000-0000D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4" authorId="0" shapeId="0" xr:uid="{00000000-0006-0000-0000-0000D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5" authorId="0" shapeId="0" xr:uid="{00000000-0006-0000-0000-0000D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6" authorId="0" shapeId="0" xr:uid="{00000000-0006-0000-0000-0000D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8" authorId="0" shapeId="0" xr:uid="{00000000-0006-0000-0000-0000D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9" authorId="0" shapeId="0" xr:uid="{00000000-0006-0000-0000-0000D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0" authorId="0" shapeId="0" xr:uid="{00000000-0006-0000-0000-0000E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2" authorId="0" shapeId="0" xr:uid="{00000000-0006-0000-0000-0000E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3" authorId="0" shapeId="0" xr:uid="{00000000-0006-0000-0000-0000E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4" authorId="0" shapeId="0" xr:uid="{00000000-0006-0000-0000-0000E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6" authorId="0" shapeId="0" xr:uid="{00000000-0006-0000-0000-0000E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8" authorId="0" shapeId="0" xr:uid="{00000000-0006-0000-0000-0000E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10" authorId="0" shapeId="0" xr:uid="{00000000-0006-0000-0000-0000E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12" authorId="0" shapeId="0" xr:uid="{00000000-0006-0000-0000-0000E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14" authorId="0" shapeId="0" xr:uid="{00000000-0006-0000-0000-0000E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16" authorId="0" shapeId="0" xr:uid="{00000000-0006-0000-0000-0000E9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318" authorId="0" shapeId="0" xr:uid="{00000000-0006-0000-0000-0000EA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320" authorId="0" shapeId="0" xr:uid="{00000000-0006-0000-0000-0000E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21" authorId="0" shapeId="0" xr:uid="{00000000-0006-0000-0000-0000EC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323" authorId="0" shapeId="0" xr:uid="{00000000-0006-0000-0000-0000E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25" authorId="0" shapeId="0" xr:uid="{00000000-0006-0000-0000-0000E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27" authorId="0" shapeId="0" xr:uid="{00000000-0006-0000-0000-0000EF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328" authorId="0" shapeId="0" xr:uid="{00000000-0006-0000-0000-0000F0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329" authorId="0" shapeId="0" xr:uid="{00000000-0006-0000-0000-0000F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30" authorId="0" shapeId="0" xr:uid="{00000000-0006-0000-0000-0000F2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332" authorId="0" shapeId="0" xr:uid="{00000000-0006-0000-0000-0000F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36" authorId="0" shapeId="0" xr:uid="{00000000-0006-0000-0000-0000F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38" authorId="0" shapeId="0" xr:uid="{00000000-0006-0000-0000-0000F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40" authorId="0" shapeId="0" xr:uid="{00000000-0006-0000-0000-0000F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42" authorId="0" shapeId="0" xr:uid="{00000000-0006-0000-0000-0000F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S349" authorId="0" shapeId="0" xr:uid="{00000000-0006-0000-0000-0000F8000000}">
      <text>
        <r>
          <rPr>
            <b/>
            <sz val="9"/>
            <color indexed="81"/>
            <rFont val="Tahoma"/>
            <family val="2"/>
            <charset val="204"/>
          </rPr>
          <t>Акт № РЦ14/33</t>
        </r>
      </text>
    </comment>
    <comment ref="S350" authorId="0" shapeId="0" xr:uid="{00000000-0006-0000-0000-0000F9000000}">
      <text>
        <r>
          <rPr>
            <b/>
            <sz val="9"/>
            <color indexed="81"/>
            <rFont val="Tahoma"/>
            <family val="2"/>
            <charset val="204"/>
          </rPr>
          <t>Акт № РЦ14/35</t>
        </r>
      </text>
    </comment>
  </commentList>
</comments>
</file>

<file path=xl/sharedStrings.xml><?xml version="1.0" encoding="utf-8"?>
<sst xmlns="http://schemas.openxmlformats.org/spreadsheetml/2006/main" count="2019" uniqueCount="1219">
  <si>
    <t>№ п/п</t>
  </si>
  <si>
    <t>Сводный технический Акт выполненных работ и оказанных услуг</t>
  </si>
  <si>
    <t>Номер Локомотива</t>
  </si>
  <si>
    <t>Фактический пробег локомотива за период *</t>
  </si>
  <si>
    <t>Количество часов нахождения локомотива в эксплуатации**</t>
  </si>
  <si>
    <t>Дата постановки Локомотива в ремонт</t>
  </si>
  <si>
    <t>Время постановки Локомотива в ремонт</t>
  </si>
  <si>
    <t>№ Акта приемки Локомотива в ремонт</t>
  </si>
  <si>
    <t>Вид ремонта</t>
  </si>
  <si>
    <t>Дата выхода Локомотива из ремонта</t>
  </si>
  <si>
    <t>Время выхода Локомотива из ремонта</t>
  </si>
  <si>
    <t>№ Акта приемки Локомотива из ремонта</t>
  </si>
  <si>
    <t>Количество часов нахождения Локомотива в ремонте*</t>
  </si>
  <si>
    <t>Время в ОЖ.</t>
  </si>
  <si>
    <t>Время в ОЖ. За вычетом 1 часа в ИСПРАВНОМ состоянии</t>
  </si>
  <si>
    <t>ТО-2</t>
  </si>
  <si>
    <t>ИТОГО по лок-ву</t>
  </si>
  <si>
    <t>ВСЕГО</t>
  </si>
  <si>
    <t>* - пробеги локомотива заполняются только в итоговой строке по этому локомотиву</t>
  </si>
  <si>
    <t>Примечание: Пробег локомотивов, подлежащий оплате, рассчитывается по формуле, приведенной в пункте 19.1 Договора.</t>
  </si>
  <si>
    <t>Количество часов нахождения в работоспособном состоянии:</t>
  </si>
  <si>
    <t>Количество часов нахождения в Обслуживании непредвиденном:</t>
  </si>
  <si>
    <t>Количество часов нахождения в Обслуживании гарантийном:</t>
  </si>
  <si>
    <t>Количество часов нахождения в ожидании ТО-2, ТО-2 с экипировкой, ТР:</t>
  </si>
  <si>
    <t>ноября</t>
  </si>
  <si>
    <t>февраля</t>
  </si>
  <si>
    <t>марта</t>
  </si>
  <si>
    <t>июня</t>
  </si>
  <si>
    <t>июля</t>
  </si>
  <si>
    <t>августа</t>
  </si>
  <si>
    <t>сентября</t>
  </si>
  <si>
    <t>декабря</t>
  </si>
  <si>
    <t>января</t>
  </si>
  <si>
    <t>Дата постановки в ОЖ. ТО-2, ОЖ. ТО-2 с экипировкой,ож ТР,  ож НЕПЛ РЕМ</t>
  </si>
  <si>
    <t>октября</t>
  </si>
  <si>
    <t>мая</t>
  </si>
  <si>
    <t>апреля</t>
  </si>
  <si>
    <t>Неплановый ремонт по вине ОАО "РЖД". Выдержка из истории локомотива АСУТЦТ</t>
  </si>
  <si>
    <t>Серия</t>
  </si>
  <si>
    <t>Номер</t>
  </si>
  <si>
    <t>Дата</t>
  </si>
  <si>
    <t>Состояние</t>
  </si>
  <si>
    <t>Операция</t>
  </si>
  <si>
    <t>Дислокация</t>
  </si>
  <si>
    <t>время </t>
  </si>
  <si>
    <t>2ЭС6</t>
  </si>
  <si>
    <t>Неплановый ремонт по вине ООО "УЛ". Выдержка из истории локомотива АСУТЦТ</t>
  </si>
  <si>
    <t xml:space="preserve">Количество часов нахождения в Обслуживании: </t>
  </si>
  <si>
    <t>Время из работоспособного состояния</t>
  </si>
  <si>
    <t>Следование в ремонт</t>
  </si>
  <si>
    <t xml:space="preserve">** - с учётом времени простоев на станционных или деповских путях в ожидании технического обслуживания ТО-2, ТО-2 и экипировки, ТР.                                                                        </t>
  </si>
  <si>
    <t>НР</t>
  </si>
  <si>
    <t>Пробег всех секций локомотива подлежащий оплате *</t>
  </si>
  <si>
    <t>КГЭф составил:</t>
  </si>
  <si>
    <t>ОЖ.НР./ ОЖ.ОТПР.НР./СЛ. В РЕМ,</t>
  </si>
  <si>
    <t>02-03-26 05:59</t>
  </si>
  <si>
    <t>02-03-26 09:24</t>
  </si>
  <si>
    <t>02-03-26 10:29</t>
  </si>
  <si>
    <t>01-03-26 19:27</t>
  </si>
  <si>
    <t>02-03-26 00:35</t>
  </si>
  <si>
    <t>02-03-26 01:45</t>
  </si>
  <si>
    <t>01-03-26 20:28</t>
  </si>
  <si>
    <t>01-03-26 22:25</t>
  </si>
  <si>
    <t>01-03-26 23:44</t>
  </si>
  <si>
    <t>02-03-26 01:26</t>
  </si>
  <si>
    <t>02-03-26 05:36</t>
  </si>
  <si>
    <t>02-03-26 06:37</t>
  </si>
  <si>
    <t>01-03-26 02:58</t>
  </si>
  <si>
    <t>01-03-26 14:53</t>
  </si>
  <si>
    <t>01-03-26 16:15</t>
  </si>
  <si>
    <t>01-03-26 02:08</t>
  </si>
  <si>
    <t>01-03-26 08:39</t>
  </si>
  <si>
    <t>01-03-26 10:16</t>
  </si>
  <si>
    <t>01-03-26 10:08</t>
  </si>
  <si>
    <t>01-03-26 16:47</t>
  </si>
  <si>
    <t>01-03-26 18:14</t>
  </si>
  <si>
    <t>28-02-26 21:53</t>
  </si>
  <si>
    <t>28-02-26 23:36</t>
  </si>
  <si>
    <t>01-03-26 00:37</t>
  </si>
  <si>
    <t>01-03-26 23:15</t>
  </si>
  <si>
    <t>02-03-26 04:20</t>
  </si>
  <si>
    <t>02-03-26 05:37</t>
  </si>
  <si>
    <t>01-03-26 20:55</t>
  </si>
  <si>
    <t>02-03-26 01:39</t>
  </si>
  <si>
    <t>02-03-26 02:55</t>
  </si>
  <si>
    <t>28-02-26 21:54</t>
  </si>
  <si>
    <t>01-03-26 03:52</t>
  </si>
  <si>
    <t>01-03-26 04:54</t>
  </si>
  <si>
    <t>02-03-26 20:52</t>
  </si>
  <si>
    <t>02-03-26 22:25</t>
  </si>
  <si>
    <t>02-03-26 23:50</t>
  </si>
  <si>
    <t>02-03-26 18:54</t>
  </si>
  <si>
    <t>02-03-26 18:57</t>
  </si>
  <si>
    <t>02-03-26 20:14</t>
  </si>
  <si>
    <t>02-03-26 03:14</t>
  </si>
  <si>
    <t>02-03-26 14:55</t>
  </si>
  <si>
    <t>02-03-26 15:32</t>
  </si>
  <si>
    <t>02-03-26 09:13</t>
  </si>
  <si>
    <t>02-03-26 10:52</t>
  </si>
  <si>
    <t>02-03-26 12:00</t>
  </si>
  <si>
    <t>№471</t>
  </si>
  <si>
    <t>№469</t>
  </si>
  <si>
    <t>№467</t>
  </si>
  <si>
    <t>№470</t>
  </si>
  <si>
    <t>№465</t>
  </si>
  <si>
    <t>03-03-26 08:34</t>
  </si>
  <si>
    <t>03-03-26 08:36</t>
  </si>
  <si>
    <t>03-03-26 09:37</t>
  </si>
  <si>
    <t>03-03-26 10:27</t>
  </si>
  <si>
    <t>03-03-26 10:30</t>
  </si>
  <si>
    <t>03-03-26 11:40</t>
  </si>
  <si>
    <t>03-03-26 19:07</t>
  </si>
  <si>
    <t>03-03-26 20:21</t>
  </si>
  <si>
    <t>03-03-26 21:30</t>
  </si>
  <si>
    <t>03-03-26 23:39</t>
  </si>
  <si>
    <t>04-03-26 03:26</t>
  </si>
  <si>
    <t>04-03-26 04:31</t>
  </si>
  <si>
    <t>03-03-26 18:17</t>
  </si>
  <si>
    <t>03-03-26 18:29</t>
  </si>
  <si>
    <t>03-03-26 19:39</t>
  </si>
  <si>
    <t>№476</t>
  </si>
  <si>
    <t>№479</t>
  </si>
  <si>
    <t>№472</t>
  </si>
  <si>
    <t>№478</t>
  </si>
  <si>
    <t>№481</t>
  </si>
  <si>
    <t>№474</t>
  </si>
  <si>
    <t>№477</t>
  </si>
  <si>
    <t>№473</t>
  </si>
  <si>
    <t>04-03-26 10:09</t>
  </si>
  <si>
    <t>04-03-26 16:30</t>
  </si>
  <si>
    <t>04-03-26 17:54</t>
  </si>
  <si>
    <t>05-03-26 02:49</t>
  </si>
  <si>
    <t>05-03-26 03:35</t>
  </si>
  <si>
    <t>05-03-26 04:44</t>
  </si>
  <si>
    <t>04-03-26 13:16</t>
  </si>
  <si>
    <t>04-03-26 18:06</t>
  </si>
  <si>
    <t>04-03-26 19:22</t>
  </si>
  <si>
    <t>№26</t>
  </si>
  <si>
    <t>ТР-1</t>
  </si>
  <si>
    <t>04-03-26 11:44</t>
  </si>
  <si>
    <t>04-03-26 11:54</t>
  </si>
  <si>
    <t>04-03-26 21:55</t>
  </si>
  <si>
    <t>04-03-26 21:58</t>
  </si>
  <si>
    <t>04-03-26 22:23</t>
  </si>
  <si>
    <t>04-03-26 23:32</t>
  </si>
  <si>
    <t>04-03-26 07:22</t>
  </si>
  <si>
    <t>04-03-26 13:30</t>
  </si>
  <si>
    <t>04-03-26 14:45</t>
  </si>
  <si>
    <t>04-03-26 08:45</t>
  </si>
  <si>
    <t>04-03-26 15:00</t>
  </si>
  <si>
    <t>04-03-26 16:17</t>
  </si>
  <si>
    <t>05-03-26 02:50</t>
  </si>
  <si>
    <t>05-03-26 04:50</t>
  </si>
  <si>
    <t>05-03-26 05:57</t>
  </si>
  <si>
    <t>№480</t>
  </si>
  <si>
    <t>№475</t>
  </si>
  <si>
    <t>05-03-26 02:25</t>
  </si>
  <si>
    <t>05-03-26 14:13</t>
  </si>
  <si>
    <t>05-03-26 07:32</t>
  </si>
  <si>
    <t>05-03-26 11:52</t>
  </si>
  <si>
    <t>05-03-26 13:20</t>
  </si>
  <si>
    <t>05-03-26 13:50</t>
  </si>
  <si>
    <t>05-03-26 15:57</t>
  </si>
  <si>
    <t>05-03-26 17:15</t>
  </si>
  <si>
    <t>05-03-26 09:13</t>
  </si>
  <si>
    <t>05-03-26 13:57</t>
  </si>
  <si>
    <t>05-03-26 15:13</t>
  </si>
  <si>
    <t>05-03-26 07:49</t>
  </si>
  <si>
    <t>05-03-26 14:05</t>
  </si>
  <si>
    <t>05-03-26 14:29</t>
  </si>
  <si>
    <t>05-03-26 23:44</t>
  </si>
  <si>
    <t>06-03-26 04:06</t>
  </si>
  <si>
    <t>06-03-26 05:32</t>
  </si>
  <si>
    <t>05-03-26 23:57</t>
  </si>
  <si>
    <t>06-03-26 05:29</t>
  </si>
  <si>
    <t>05-03-26 16:53</t>
  </si>
  <si>
    <t>05-03-26 21:16</t>
  </si>
  <si>
    <t>05-03-26 22:34</t>
  </si>
  <si>
    <t>05-03-26 17:50</t>
  </si>
  <si>
    <t>05-03-26 18:35</t>
  </si>
  <si>
    <t>05-03-26 19:47</t>
  </si>
  <si>
    <t>06-03-26 02:56</t>
  </si>
  <si>
    <t>06-03-26 05:34</t>
  </si>
  <si>
    <t>05-03-26 20:49</t>
  </si>
  <si>
    <t>05-03-26 23:30</t>
  </si>
  <si>
    <t>06-03-26 00:50</t>
  </si>
  <si>
    <t>07-03-26 23:46</t>
  </si>
  <si>
    <t>08-03-26 03:09</t>
  </si>
  <si>
    <t>08-03-26 04:09</t>
  </si>
  <si>
    <t>09-03-26 06:11</t>
  </si>
  <si>
    <t>09-03-26 11:33</t>
  </si>
  <si>
    <t>09-03-26 13:15</t>
  </si>
  <si>
    <t>09-03-26 13:14</t>
  </si>
  <si>
    <t>09-03-26 18:40</t>
  </si>
  <si>
    <t>05-03-26 14:26</t>
  </si>
  <si>
    <t>07-03-26 07:42</t>
  </si>
  <si>
    <t>07-03-26 19:30</t>
  </si>
  <si>
    <t>07-03-26 16:42</t>
  </si>
  <si>
    <t>07-03-26 21:01</t>
  </si>
  <si>
    <t>07-03-26 22:02</t>
  </si>
  <si>
    <t>06-03-26 03:02</t>
  </si>
  <si>
    <t>06-03-26 16:28</t>
  </si>
  <si>
    <t>05-03-26 19:00</t>
  </si>
  <si>
    <t>08-03-26 12:37</t>
  </si>
  <si>
    <t>08-03-26 16:24</t>
  </si>
  <si>
    <t>08-03-26 17:47</t>
  </si>
  <si>
    <t>07-03-26 12:14</t>
  </si>
  <si>
    <t>07-03-26 15:12</t>
  </si>
  <si>
    <t>07-03-26 16:23</t>
  </si>
  <si>
    <t>10-03-26 00:38</t>
  </si>
  <si>
    <t>10-03-26 04:51</t>
  </si>
  <si>
    <t>10-03-26 05:58</t>
  </si>
  <si>
    <t>09-03-26 22:42</t>
  </si>
  <si>
    <t>09-03-26 22:48</t>
  </si>
  <si>
    <t>10-03-26 00:05</t>
  </si>
  <si>
    <t>09-03-26 14:14</t>
  </si>
  <si>
    <t>09-03-26 20:00</t>
  </si>
  <si>
    <t>06-03-26 16:47</t>
  </si>
  <si>
    <t>06-03-26 18:40</t>
  </si>
  <si>
    <t>06-03-26 19:47</t>
  </si>
  <si>
    <t>06-03-26 19:33</t>
  </si>
  <si>
    <t>06-03-26 22:04</t>
  </si>
  <si>
    <t>06-03-26 23:18</t>
  </si>
  <si>
    <t>09-03-26 20:59</t>
  </si>
  <si>
    <t>10-03-26 00:11</t>
  </si>
  <si>
    <t>10-03-26 01:35</t>
  </si>
  <si>
    <t>08-03-26 22:05</t>
  </si>
  <si>
    <t>08-03-26 22:11</t>
  </si>
  <si>
    <t>08-03-26 23:17</t>
  </si>
  <si>
    <t>08-03-26 07:21</t>
  </si>
  <si>
    <t>08-03-26 09:25</t>
  </si>
  <si>
    <t>08-03-26 10:51</t>
  </si>
  <si>
    <t>06-03-26 09:26</t>
  </si>
  <si>
    <t>06-03-26 20:38</t>
  </si>
  <si>
    <t>06-03-26 21:50</t>
  </si>
  <si>
    <t>06-03-26 06:53</t>
  </si>
  <si>
    <t>06-03-26 16:00</t>
  </si>
  <si>
    <t>06-03-26 17:08</t>
  </si>
  <si>
    <t>06-03-26 18:17</t>
  </si>
  <si>
    <t>09-03-26 14:42</t>
  </si>
  <si>
    <t>09-03-26 20:56</t>
  </si>
  <si>
    <t>09-03-26 22:15</t>
  </si>
  <si>
    <t>10-03-26 00:51</t>
  </si>
  <si>
    <t>10-03-26 04:49</t>
  </si>
  <si>
    <t>10-03-26 03:28</t>
  </si>
  <si>
    <t>08-03-26 09:36</t>
  </si>
  <si>
    <t>08-03-26 09:46</t>
  </si>
  <si>
    <t>09-03-26 19:34</t>
  </si>
  <si>
    <t>08-03-26 23:15</t>
  </si>
  <si>
    <t>09-03-26 00:50</t>
  </si>
  <si>
    <t>09-03-26 01:57</t>
  </si>
  <si>
    <t>07-03-26 05:19</t>
  </si>
  <si>
    <t>07-03-26 05:50</t>
  </si>
  <si>
    <t>07-03-26 07:15</t>
  </si>
  <si>
    <t>04-03-26 03:59</t>
  </si>
  <si>
    <t>06-03-26 11:57</t>
  </si>
  <si>
    <t>06-03-26 19:45</t>
  </si>
  <si>
    <t>06-03-26 08:26</t>
  </si>
  <si>
    <t>06-03-26 09:34</t>
  </si>
  <si>
    <t>06-03-26 09:37</t>
  </si>
  <si>
    <t>06-03-26 10:39</t>
  </si>
  <si>
    <t>08-03-26 09:35</t>
  </si>
  <si>
    <t>08-03-26 11:23</t>
  </si>
  <si>
    <t>08-03-26 12:39</t>
  </si>
  <si>
    <t>08-03-26 09:33</t>
  </si>
  <si>
    <t>08-03-26 13:07</t>
  </si>
  <si>
    <t>08-03-26 14:29</t>
  </si>
  <si>
    <t>06-03-26 09:25</t>
  </si>
  <si>
    <t>06-03-26 11:35</t>
  </si>
  <si>
    <t>06-03-26 12:41</t>
  </si>
  <si>
    <t>10-03-26 00:52</t>
  </si>
  <si>
    <t>10-03-26 01:36</t>
  </si>
  <si>
    <t>10-03-26 02:48</t>
  </si>
  <si>
    <t>07-03-26 18:17</t>
  </si>
  <si>
    <t>07-03-26 22:17</t>
  </si>
  <si>
    <t>07-03-26 23:19</t>
  </si>
  <si>
    <t>№519</t>
  </si>
  <si>
    <t>№527</t>
  </si>
  <si>
    <t>06-03-26 21:54</t>
  </si>
  <si>
    <t>№489</t>
  </si>
  <si>
    <t>№517</t>
  </si>
  <si>
    <t>№496</t>
  </si>
  <si>
    <t>№498</t>
  </si>
  <si>
    <t>№524</t>
  </si>
  <si>
    <t>№515</t>
  </si>
  <si>
    <t>№497</t>
  </si>
  <si>
    <t>№493</t>
  </si>
  <si>
    <t>№503</t>
  </si>
  <si>
    <t>№510</t>
  </si>
  <si>
    <t>№490</t>
  </si>
  <si>
    <t>№512</t>
  </si>
  <si>
    <t>№525</t>
  </si>
  <si>
    <t>№492</t>
  </si>
  <si>
    <t>№520</t>
  </si>
  <si>
    <t>№487</t>
  </si>
  <si>
    <t>№511</t>
  </si>
  <si>
    <t>№504</t>
  </si>
  <si>
    <t>№509</t>
  </si>
  <si>
    <t>№500</t>
  </si>
  <si>
    <t>№483</t>
  </si>
  <si>
    <t>№484</t>
  </si>
  <si>
    <t>№488</t>
  </si>
  <si>
    <t>№526</t>
  </si>
  <si>
    <t>№499</t>
  </si>
  <si>
    <t>№513</t>
  </si>
  <si>
    <t>№505</t>
  </si>
  <si>
    <t>№506</t>
  </si>
  <si>
    <t>№521</t>
  </si>
  <si>
    <t>№522</t>
  </si>
  <si>
    <t>№507</t>
  </si>
  <si>
    <t>№494</t>
  </si>
  <si>
    <t>№501</t>
  </si>
  <si>
    <t>№518</t>
  </si>
  <si>
    <t>№482</t>
  </si>
  <si>
    <t>№28</t>
  </si>
  <si>
    <t>№27</t>
  </si>
  <si>
    <t>№29</t>
  </si>
  <si>
    <t>№30</t>
  </si>
  <si>
    <t>08-03-26 20:44</t>
  </si>
  <si>
    <t>№463</t>
  </si>
  <si>
    <t>10-03-26 03:53</t>
  </si>
  <si>
    <t>10-03-26 06:40</t>
  </si>
  <si>
    <t>10-03-26 07:45</t>
  </si>
  <si>
    <t>10-03-26 19:10</t>
  </si>
  <si>
    <t>10-03-26 21:17</t>
  </si>
  <si>
    <t>10-03-26 22:31</t>
  </si>
  <si>
    <t>10-03-26 05:36</t>
  </si>
  <si>
    <t>10-03-26 09:54</t>
  </si>
  <si>
    <t>10-03-26 10:57</t>
  </si>
  <si>
    <t>10-03-26 12:26</t>
  </si>
  <si>
    <t>10-03-26 13:56</t>
  </si>
  <si>
    <t>10-03-26 15:00</t>
  </si>
  <si>
    <t>10-03-26 10:06</t>
  </si>
  <si>
    <t>10-03-26 08:17</t>
  </si>
  <si>
    <t>10-03-26 08:43</t>
  </si>
  <si>
    <t>10-03-26 09:43</t>
  </si>
  <si>
    <t>10-03-26 11:42</t>
  </si>
  <si>
    <t>10-03-26 17:36</t>
  </si>
  <si>
    <t>10-03-26 18:39</t>
  </si>
  <si>
    <t>11-03-26 06:48</t>
  </si>
  <si>
    <t>11-03-26 05:03</t>
  </si>
  <si>
    <t>11-03-26 05:05</t>
  </si>
  <si>
    <t>11-03-26 06:42</t>
  </si>
  <si>
    <t>11-03-26 23:36</t>
  </si>
  <si>
    <t>12-03-26 03:24</t>
  </si>
  <si>
    <t>12-03-26 04:27</t>
  </si>
  <si>
    <t>11-03-26 18:23</t>
  </si>
  <si>
    <t>11-03-26 18:39</t>
  </si>
  <si>
    <t>11-03-26 19:52</t>
  </si>
  <si>
    <t>11-03-26 23:00</t>
  </si>
  <si>
    <t>12-03-26 04:11</t>
  </si>
  <si>
    <t>12-03-26 04:52</t>
  </si>
  <si>
    <t>11-03-26 22:49</t>
  </si>
  <si>
    <t>12-03-26 02:04</t>
  </si>
  <si>
    <t>12-03-26 03:33</t>
  </si>
  <si>
    <t>11-03-26 19:02</t>
  </si>
  <si>
    <t>12-03-26 05:15</t>
  </si>
  <si>
    <t>10-03-26 14:14</t>
  </si>
  <si>
    <t>11-03-26 17:30</t>
  </si>
  <si>
    <t>11-03-26 18:42</t>
  </si>
  <si>
    <t>11-03-26 17:00</t>
  </si>
  <si>
    <t>12-03-26 01:18</t>
  </si>
  <si>
    <t>10-03-26 23:35</t>
  </si>
  <si>
    <t>11-03-26 19:01</t>
  </si>
  <si>
    <t>11-03-26 13:46</t>
  </si>
  <si>
    <t>11-03-26 16:03</t>
  </si>
  <si>
    <t>11-03-26 16:31</t>
  </si>
  <si>
    <t>11-03-26 08:36</t>
  </si>
  <si>
    <t>11-03-26 09:46</t>
  </si>
  <si>
    <t>ТО-4</t>
  </si>
  <si>
    <t>12-03-26 11:46</t>
  </si>
  <si>
    <t>09-03-26 06:19</t>
  </si>
  <si>
    <t>12-03-26 13:04</t>
  </si>
  <si>
    <t>12-03-26 13:51</t>
  </si>
  <si>
    <t>12-03-26 14:52</t>
  </si>
  <si>
    <t>12-03-26 21:01</t>
  </si>
  <si>
    <t>12-03-26 21:59</t>
  </si>
  <si>
    <t>12-03-26 23:41</t>
  </si>
  <si>
    <t>12-03-26 23:40</t>
  </si>
  <si>
    <t>13-03-26 00:34</t>
  </si>
  <si>
    <t>13-03-26 07:26</t>
  </si>
  <si>
    <t>12-03-26 18:37</t>
  </si>
  <si>
    <t>12-03-26 18:40</t>
  </si>
  <si>
    <t>12-03-26 19:51</t>
  </si>
  <si>
    <t>13-03-26 06:50</t>
  </si>
  <si>
    <t>12-03-26 08:50</t>
  </si>
  <si>
    <t>12-03-26 10:00</t>
  </si>
  <si>
    <t>12-03-26 23:14</t>
  </si>
  <si>
    <t>13-03-26 00:21</t>
  </si>
  <si>
    <t>12-03-26 09:05</t>
  </si>
  <si>
    <t>12-03-26 09:38</t>
  </si>
  <si>
    <t>№7</t>
  </si>
  <si>
    <t>№545</t>
  </si>
  <si>
    <t>№542</t>
  </si>
  <si>
    <t>№534</t>
  </si>
  <si>
    <t>№533</t>
  </si>
  <si>
    <t>№539</t>
  </si>
  <si>
    <t>№544</t>
  </si>
  <si>
    <t>№529</t>
  </si>
  <si>
    <t>№536</t>
  </si>
  <si>
    <t>№530</t>
  </si>
  <si>
    <t>№537</t>
  </si>
  <si>
    <t>№528</t>
  </si>
  <si>
    <t>№532</t>
  </si>
  <si>
    <t>№535</t>
  </si>
  <si>
    <t>№538</t>
  </si>
  <si>
    <t>№531</t>
  </si>
  <si>
    <t>№541</t>
  </si>
  <si>
    <t>№540</t>
  </si>
  <si>
    <t>№547</t>
  </si>
  <si>
    <t>№549</t>
  </si>
  <si>
    <t>№548</t>
  </si>
  <si>
    <t>№546</t>
  </si>
  <si>
    <t>13-03-26 09:59</t>
  </si>
  <si>
    <t>13-03-26 10:10</t>
  </si>
  <si>
    <t>13-03-26 11:22</t>
  </si>
  <si>
    <t>13-03-26 08:31</t>
  </si>
  <si>
    <t>13-03-26 12:01</t>
  </si>
  <si>
    <t>13-03-26 08:24</t>
  </si>
  <si>
    <t>13-03-26 09:53</t>
  </si>
  <si>
    <t>№550</t>
  </si>
  <si>
    <t>15-03-26 09:41</t>
  </si>
  <si>
    <t>15-03-26 12:44</t>
  </si>
  <si>
    <t>15-03-26 13:53</t>
  </si>
  <si>
    <t>13-03-26 05:30</t>
  </si>
  <si>
    <t>15-03-26 10:17</t>
  </si>
  <si>
    <t>15-03-26 20:28</t>
  </si>
  <si>
    <t>13-03-26 13:14</t>
  </si>
  <si>
    <t>14-03-26 19:54</t>
  </si>
  <si>
    <t>14-03-26 22:25</t>
  </si>
  <si>
    <t>14-03-26 23:41</t>
  </si>
  <si>
    <t>14-03-26 05:06</t>
  </si>
  <si>
    <t>14-03-26 10:07</t>
  </si>
  <si>
    <t>14-03-26 11:13</t>
  </si>
  <si>
    <t>14-03-26 21:56</t>
  </si>
  <si>
    <t>15-03-26 01:08</t>
  </si>
  <si>
    <t>15-03-26 02:22</t>
  </si>
  <si>
    <t>16-03-26 06:01</t>
  </si>
  <si>
    <t>15-03-26 10:35</t>
  </si>
  <si>
    <t>14-03-26 19:07</t>
  </si>
  <si>
    <t>14-03-26 20:46</t>
  </si>
  <si>
    <t>14-03-26 21:57</t>
  </si>
  <si>
    <t>14-03-26 20:14</t>
  </si>
  <si>
    <t>16-03-26 05:07</t>
  </si>
  <si>
    <t>16-03-26 05:47</t>
  </si>
  <si>
    <t>15-03-26 10:07</t>
  </si>
  <si>
    <t>15-03-26 14:13</t>
  </si>
  <si>
    <t>15-03-26 15:15</t>
  </si>
  <si>
    <t>14-03-26 02:59</t>
  </si>
  <si>
    <t>14-03-26 03:01</t>
  </si>
  <si>
    <t>14-03-26 04:07</t>
  </si>
  <si>
    <t>15-03-26 17:31</t>
  </si>
  <si>
    <t>15-03-26 17:58</t>
  </si>
  <si>
    <t>15-03-26 19:03</t>
  </si>
  <si>
    <t>14-03-26 04:47</t>
  </si>
  <si>
    <t>14-03-26 08:24</t>
  </si>
  <si>
    <t>14-03-26 09:26</t>
  </si>
  <si>
    <t>16-03-26 07:03</t>
  </si>
  <si>
    <t>15-03-26 09:34</t>
  </si>
  <si>
    <t>15-03-26 11:34</t>
  </si>
  <si>
    <t>15-03-26 12:45</t>
  </si>
  <si>
    <t>15-03-26 05:42</t>
  </si>
  <si>
    <t>15-03-26 10:04</t>
  </si>
  <si>
    <t>15-03-26 11:09</t>
  </si>
  <si>
    <t>14-03-26 15:14</t>
  </si>
  <si>
    <t>14-03-26 15:24</t>
  </si>
  <si>
    <t>14-03-26 16:34</t>
  </si>
  <si>
    <t>13-03-26 17:52</t>
  </si>
  <si>
    <t>15-03-26 02:45</t>
  </si>
  <si>
    <t>15-03-26 18:18</t>
  </si>
  <si>
    <t>15-03-26 19:17</t>
  </si>
  <si>
    <t>15-03-26 13:32</t>
  </si>
  <si>
    <t>15-03-26 15:53</t>
  </si>
  <si>
    <t>15-03-26 17:04</t>
  </si>
  <si>
    <t>13-03-26 19:39</t>
  </si>
  <si>
    <t>13-03-26 21:13</t>
  </si>
  <si>
    <t>13-03-26 22:31</t>
  </si>
  <si>
    <t>№33</t>
  </si>
  <si>
    <t>№32</t>
  </si>
  <si>
    <t>№31</t>
  </si>
  <si>
    <t>№553</t>
  </si>
  <si>
    <t>14-03-26 18:58</t>
  </si>
  <si>
    <t>№559</t>
  </si>
  <si>
    <t>№563</t>
  </si>
  <si>
    <t>№552</t>
  </si>
  <si>
    <t>№562</t>
  </si>
  <si>
    <t>№561</t>
  </si>
  <si>
    <t>№551</t>
  </si>
  <si>
    <t>№556</t>
  </si>
  <si>
    <t>№558</t>
  </si>
  <si>
    <t>№560</t>
  </si>
  <si>
    <t>№555</t>
  </si>
  <si>
    <t>№220</t>
  </si>
  <si>
    <t>№208</t>
  </si>
  <si>
    <t>№РЦ14/23</t>
  </si>
  <si>
    <t>№РЦ14/21</t>
  </si>
  <si>
    <t>№225</t>
  </si>
  <si>
    <t>№229</t>
  </si>
  <si>
    <t>№200</t>
  </si>
  <si>
    <t>№237</t>
  </si>
  <si>
    <t>№227</t>
  </si>
  <si>
    <t>16-03-26 12:08</t>
  </si>
  <si>
    <t>16-03-26 14:00</t>
  </si>
  <si>
    <t>16-03-26 08:30</t>
  </si>
  <si>
    <t>16-03-26 11:40</t>
  </si>
  <si>
    <t>16-03-26 12:53</t>
  </si>
  <si>
    <t>16-03-26 08:25</t>
  </si>
  <si>
    <t>16-03-26 09:40</t>
  </si>
  <si>
    <t>16-03-26 16:05</t>
  </si>
  <si>
    <t>16-03-26 17:13</t>
  </si>
  <si>
    <t>14-03-26 09:38</t>
  </si>
  <si>
    <t>16-03-26 20:10</t>
  </si>
  <si>
    <t>16-03-26 21:18</t>
  </si>
  <si>
    <t>16-03-26 22:06</t>
  </si>
  <si>
    <t>16-03-26 23:15</t>
  </si>
  <si>
    <t>16-03-26 15:16</t>
  </si>
  <si>
    <t>16-03-26 08:11</t>
  </si>
  <si>
    <t>16-03-26 10:10</t>
  </si>
  <si>
    <t>16-03-26 11:20</t>
  </si>
  <si>
    <t>№572</t>
  </si>
  <si>
    <t>№574</t>
  </si>
  <si>
    <t>№571</t>
  </si>
  <si>
    <t>№569</t>
  </si>
  <si>
    <t>№575</t>
  </si>
  <si>
    <t>№573</t>
  </si>
  <si>
    <t>№568</t>
  </si>
  <si>
    <t>№233</t>
  </si>
  <si>
    <t>17-03-26 07:35</t>
  </si>
  <si>
    <t>17-03-26 02:02</t>
  </si>
  <si>
    <t>17-03-26 19:12</t>
  </si>
  <si>
    <t>17-03-26 20:21</t>
  </si>
  <si>
    <t>17-03-26 10:14</t>
  </si>
  <si>
    <t>17-03-26 12:06</t>
  </si>
  <si>
    <t>17-03-26 13:20</t>
  </si>
  <si>
    <t>№576</t>
  </si>
  <si>
    <t>№578</t>
  </si>
  <si>
    <t>№35</t>
  </si>
  <si>
    <t>17-03-26 23:57</t>
  </si>
  <si>
    <t>№566</t>
  </si>
  <si>
    <t>№567</t>
  </si>
  <si>
    <t>№565</t>
  </si>
  <si>
    <t>№564</t>
  </si>
  <si>
    <t>№36</t>
  </si>
  <si>
    <t>18-03-26 11:03</t>
  </si>
  <si>
    <t>18-03-26 21:50</t>
  </si>
  <si>
    <t>18-03-26 17:25</t>
  </si>
  <si>
    <t>18-03-26 18:48</t>
  </si>
  <si>
    <t>18-03-26 20:12</t>
  </si>
  <si>
    <t>18-03-26 06:29</t>
  </si>
  <si>
    <t>18-03-26 15:21</t>
  </si>
  <si>
    <t>18-03-26 16:28</t>
  </si>
  <si>
    <t>19-03-26 00:14</t>
  </si>
  <si>
    <t>19-03-26 05:23</t>
  </si>
  <si>
    <t>19-03-26 03:21</t>
  </si>
  <si>
    <t>18-03-26 19:50</t>
  </si>
  <si>
    <t>19-03-26 01:47</t>
  </si>
  <si>
    <t>19-03-26 02:56</t>
  </si>
  <si>
    <t>18-03-26 13:09</t>
  </si>
  <si>
    <t>19-03-26 01:46</t>
  </si>
  <si>
    <t>19-03-26 03:12</t>
  </si>
  <si>
    <t>19-03-26 04:26</t>
  </si>
  <si>
    <t>18-03-26 22:03</t>
  </si>
  <si>
    <t>19-03-26 03:22</t>
  </si>
  <si>
    <t>№579</t>
  </si>
  <si>
    <t>23-03-26 18:44</t>
  </si>
  <si>
    <t>23-03-26 22:33</t>
  </si>
  <si>
    <t>23-03-26 23:49</t>
  </si>
  <si>
    <t>24-03-26 00:28</t>
  </si>
  <si>
    <t>24-03-26 04:05</t>
  </si>
  <si>
    <t>24-03-26 05:10</t>
  </si>
  <si>
    <t>20-03-26 22:16</t>
  </si>
  <si>
    <t>20-03-26 23:31</t>
  </si>
  <si>
    <t>21-03-26 00:40</t>
  </si>
  <si>
    <t>19-03-26 16:36</t>
  </si>
  <si>
    <t>19-03-26 22:05</t>
  </si>
  <si>
    <t>19-03-26 23:05</t>
  </si>
  <si>
    <t>22-03-26 14:04</t>
  </si>
  <si>
    <t>23-03-26 03:04</t>
  </si>
  <si>
    <t>23-03-26 04:14</t>
  </si>
  <si>
    <t>21-03-26 10:39</t>
  </si>
  <si>
    <t>21-03-26 11:06</t>
  </si>
  <si>
    <t>21-03-26 12:38</t>
  </si>
  <si>
    <t>22-03-26 02:27</t>
  </si>
  <si>
    <t>22-03-26 03:05</t>
  </si>
  <si>
    <t>22-03-26 04:10</t>
  </si>
  <si>
    <t>22-03-26 22:03</t>
  </si>
  <si>
    <t>22-03-26 23:02</t>
  </si>
  <si>
    <t>23-03-26 00:27</t>
  </si>
  <si>
    <t>23-03-26 21:43</t>
  </si>
  <si>
    <t>23-03-26 23:41</t>
  </si>
  <si>
    <t>24-03-26 00:53</t>
  </si>
  <si>
    <t>20-03-26 18:23</t>
  </si>
  <si>
    <t>21-03-26 11:39</t>
  </si>
  <si>
    <t>21-03-26 21:24</t>
  </si>
  <si>
    <t>18-03-26 09:25</t>
  </si>
  <si>
    <t>19-03-26 13:44</t>
  </si>
  <si>
    <t>19-03-26 16:54</t>
  </si>
  <si>
    <t>19-03-26 13:11</t>
  </si>
  <si>
    <t>19-03-26 16:55</t>
  </si>
  <si>
    <t>19-03-26 18:06</t>
  </si>
  <si>
    <t>22-03-26 13:50</t>
  </si>
  <si>
    <t>22-03-26 18:25</t>
  </si>
  <si>
    <t>23-03-26 19:32</t>
  </si>
  <si>
    <t>23-03-26 05:33</t>
  </si>
  <si>
    <t>23-03-26 14:12</t>
  </si>
  <si>
    <t>23-03-26 21:46</t>
  </si>
  <si>
    <t>19-03-26 06:33</t>
  </si>
  <si>
    <t>22-03-26 05:21</t>
  </si>
  <si>
    <t>22-03-26 05:22</t>
  </si>
  <si>
    <t>22-03-26 06:34</t>
  </si>
  <si>
    <t>21-03-26 16:54</t>
  </si>
  <si>
    <t>21-03-26 18:07</t>
  </si>
  <si>
    <t>19-03-26 21:56</t>
  </si>
  <si>
    <t>20-03-26 01:00</t>
  </si>
  <si>
    <t>20-03-26 02:05</t>
  </si>
  <si>
    <t>22-03-26 09:23</t>
  </si>
  <si>
    <t>22-03-26 11:13</t>
  </si>
  <si>
    <t>22-03-26 12:20</t>
  </si>
  <si>
    <t>19-03-26 13:39</t>
  </si>
  <si>
    <t>19-03-26 18:33</t>
  </si>
  <si>
    <t>19-03-26 19:37</t>
  </si>
  <si>
    <t>18-03-26 10:27</t>
  </si>
  <si>
    <t>21-03-26 14:52</t>
  </si>
  <si>
    <t>22-03-26 10:32</t>
  </si>
  <si>
    <t>22-03-26 13:59</t>
  </si>
  <si>
    <t>22-03-26 14:13</t>
  </si>
  <si>
    <t>22-03-26 15:06</t>
  </si>
  <si>
    <t>21-03-26 20:55</t>
  </si>
  <si>
    <t>21-03-26 23:21</t>
  </si>
  <si>
    <t>22-03-26 00:48</t>
  </si>
  <si>
    <t>19-03-26 16:21</t>
  </si>
  <si>
    <t>20-03-26 10:06</t>
  </si>
  <si>
    <t>20-03-26 21:49</t>
  </si>
  <si>
    <t>19-03-26 10:20</t>
  </si>
  <si>
    <t>19-03-26 20:41</t>
  </si>
  <si>
    <t>19-03-26 13:12</t>
  </si>
  <si>
    <t>19-03-26 15:41</t>
  </si>
  <si>
    <t>19-03-26 16:52</t>
  </si>
  <si>
    <t>23-03-26 14:38</t>
  </si>
  <si>
    <t>23-03-26 15:27</t>
  </si>
  <si>
    <t>23-03-26 16:31</t>
  </si>
  <si>
    <t>22-03-26 18:51</t>
  </si>
  <si>
    <t>23-03-26 09:11</t>
  </si>
  <si>
    <t>23-03-26 10:14</t>
  </si>
  <si>
    <t>19-03-26 19:31</t>
  </si>
  <si>
    <t>19-03-26 23:43</t>
  </si>
  <si>
    <t>20-03-26 00:49</t>
  </si>
  <si>
    <t>23-03-26 05:32</t>
  </si>
  <si>
    <t>23-03-26 11:16</t>
  </si>
  <si>
    <t>19-03-26 09:23</t>
  </si>
  <si>
    <t>19-03-26 11:48</t>
  </si>
  <si>
    <t>19-03-26 12:55</t>
  </si>
  <si>
    <t>23-03-26 14:20</t>
  </si>
  <si>
    <t>23-03-26 16:44</t>
  </si>
  <si>
    <t>23-03-26 17:59</t>
  </si>
  <si>
    <t>19-03-26 09:24</t>
  </si>
  <si>
    <t>19-03-26 13:07</t>
  </si>
  <si>
    <t>19-03-26 14:09</t>
  </si>
  <si>
    <t>19-03-26 06:31</t>
  </si>
  <si>
    <t>19-03-26 09:55</t>
  </si>
  <si>
    <t>19-03-26 11:04</t>
  </si>
  <si>
    <t>20-03-26 07:41</t>
  </si>
  <si>
    <t>20-03-26 12:17</t>
  </si>
  <si>
    <t>20-03-26 13:28</t>
  </si>
  <si>
    <t>20-03-26 23:00</t>
  </si>
  <si>
    <t>21-03-26 04:49</t>
  </si>
  <si>
    <t>21-03-26 05:58</t>
  </si>
  <si>
    <t>19-03-26 16:35</t>
  </si>
  <si>
    <t>19-03-26 21:04</t>
  </si>
  <si>
    <t>19-03-26 22:07</t>
  </si>
  <si>
    <t>24-03-26 06:38</t>
  </si>
  <si>
    <t>24-03-26 05:38</t>
  </si>
  <si>
    <t>19-03-26 08:15</t>
  </si>
  <si>
    <t>19-03-26 09:27</t>
  </si>
  <si>
    <t>21-03-26 18:35</t>
  </si>
  <si>
    <t>21-03-26 19:56</t>
  </si>
  <si>
    <t>24-03-26 03:59</t>
  </si>
  <si>
    <t>24-03-26 05:31</t>
  </si>
  <si>
    <t>24-03-26 06:36</t>
  </si>
  <si>
    <t>21-03-26 00:51</t>
  </si>
  <si>
    <t>21-03-26 01:10</t>
  </si>
  <si>
    <t>21-03-26 01:29</t>
  </si>
  <si>
    <t>21-03-26 23:43</t>
  </si>
  <si>
    <t>22-03-26 01:15</t>
  </si>
  <si>
    <t>22-03-26 02:25</t>
  </si>
  <si>
    <t>23-03-26 15:39</t>
  </si>
  <si>
    <t>23-03-26 18:02</t>
  </si>
  <si>
    <t>23-03-26 19:04</t>
  </si>
  <si>
    <t>20-03-26 21:59</t>
  </si>
  <si>
    <t>20-03-26 22:11</t>
  </si>
  <si>
    <t>20-03-26 23:13</t>
  </si>
  <si>
    <t>21-03-26 00:52</t>
  </si>
  <si>
    <t>21-03-26 01:09</t>
  </si>
  <si>
    <t>21-03-26 01:31</t>
  </si>
  <si>
    <t>21-03-26 14:47</t>
  </si>
  <si>
    <t>22-03-26 14:43</t>
  </si>
  <si>
    <t>22-03-26 16:43</t>
  </si>
  <si>
    <t>№626</t>
  </si>
  <si>
    <t>№597</t>
  </si>
  <si>
    <t>№618</t>
  </si>
  <si>
    <t>№612</t>
  </si>
  <si>
    <t>№617</t>
  </si>
  <si>
    <t>№584</t>
  </si>
  <si>
    <t>№582</t>
  </si>
  <si>
    <t>№613</t>
  </si>
  <si>
    <t>№614</t>
  </si>
  <si>
    <t>№615</t>
  </si>
  <si>
    <t>№622</t>
  </si>
  <si>
    <t>№619</t>
  </si>
  <si>
    <t>№620</t>
  </si>
  <si>
    <t>№623</t>
  </si>
  <si>
    <t>№592</t>
  </si>
  <si>
    <t>№596</t>
  </si>
  <si>
    <t>№624</t>
  </si>
  <si>
    <t>№629</t>
  </si>
  <si>
    <t>№602</t>
  </si>
  <si>
    <t>№605</t>
  </si>
  <si>
    <t>№627</t>
  </si>
  <si>
    <t>№594</t>
  </si>
  <si>
    <t>№588</t>
  </si>
  <si>
    <t>№607</t>
  </si>
  <si>
    <t>№599</t>
  </si>
  <si>
    <t>№586</t>
  </si>
  <si>
    <t>№595</t>
  </si>
  <si>
    <t>№610</t>
  </si>
  <si>
    <t>№593</t>
  </si>
  <si>
    <t>№598</t>
  </si>
  <si>
    <t>№591</t>
  </si>
  <si>
    <t>№590</t>
  </si>
  <si>
    <t>№600</t>
  </si>
  <si>
    <t>№604</t>
  </si>
  <si>
    <t>№587</t>
  </si>
  <si>
    <t>№589</t>
  </si>
  <si>
    <t>№608</t>
  </si>
  <si>
    <t>№630</t>
  </si>
  <si>
    <t>№611</t>
  </si>
  <si>
    <t>№601</t>
  </si>
  <si>
    <t>№239</t>
  </si>
  <si>
    <t>№240</t>
  </si>
  <si>
    <t>№248</t>
  </si>
  <si>
    <t>№247</t>
  </si>
  <si>
    <t>№39</t>
  </si>
  <si>
    <t>№40</t>
  </si>
  <si>
    <t>№41</t>
  </si>
  <si>
    <t>№42</t>
  </si>
  <si>
    <t>№38</t>
  </si>
  <si>
    <t>№37</t>
  </si>
  <si>
    <t>24-03-26 11:01</t>
  </si>
  <si>
    <t>24-03-26 02:49</t>
  </si>
  <si>
    <t>24-03-26 11:21</t>
  </si>
  <si>
    <t>24-03-26 12:43</t>
  </si>
  <si>
    <t>24-03-26 13:34</t>
  </si>
  <si>
    <t>24-03-26 21:52</t>
  </si>
  <si>
    <t>25-03-26 03:30</t>
  </si>
  <si>
    <t>25-03-26 04:47</t>
  </si>
  <si>
    <t>24-03-26 20:09</t>
  </si>
  <si>
    <t>24-03-26 16:07</t>
  </si>
  <si>
    <t>24-03-26 17:44</t>
  </si>
  <si>
    <t>24-03-26 19:16</t>
  </si>
  <si>
    <t>24-03-26 21:38</t>
  </si>
  <si>
    <t>24-03-26 23:02</t>
  </si>
  <si>
    <t>25-03-26 00:07</t>
  </si>
  <si>
    <t>№634</t>
  </si>
  <si>
    <t>25-03-26 04:52</t>
  </si>
  <si>
    <t>25-03-26 05:49</t>
  </si>
  <si>
    <t>24-03-26 16:49</t>
  </si>
  <si>
    <t>24-03-26 22:18</t>
  </si>
  <si>
    <t>24-03-26 19:07</t>
  </si>
  <si>
    <t>24-03-26 22:31</t>
  </si>
  <si>
    <t>24-03-26 23:37</t>
  </si>
  <si>
    <t>24-03-26 14:38</t>
  </si>
  <si>
    <t>24-03-26 16:02</t>
  </si>
  <si>
    <t>25-03-26 02:43</t>
  </si>
  <si>
    <t>24-03-26 20:42</t>
  </si>
  <si>
    <t>24-03-26 21:17</t>
  </si>
  <si>
    <t>24-03-26 22:25</t>
  </si>
  <si>
    <t>№637</t>
  </si>
  <si>
    <t>№635</t>
  </si>
  <si>
    <t>№638</t>
  </si>
  <si>
    <t>№632</t>
  </si>
  <si>
    <t>№631</t>
  </si>
  <si>
    <t>25-03-26 23:48</t>
  </si>
  <si>
    <t>26-03-26 04:40</t>
  </si>
  <si>
    <t>26-03-26 06:13</t>
  </si>
  <si>
    <t>25-03-26 11:36</t>
  </si>
  <si>
    <t>25-03-26 17:38</t>
  </si>
  <si>
    <t>25-03-26 19:03</t>
  </si>
  <si>
    <t>25-03-26 13:09</t>
  </si>
  <si>
    <t>25-03-26 17:28</t>
  </si>
  <si>
    <t>25-03-26 09:57</t>
  </si>
  <si>
    <t>25-03-26 13:51</t>
  </si>
  <si>
    <t>25-03-26 07:00</t>
  </si>
  <si>
    <t>25-03-26 10:52</t>
  </si>
  <si>
    <t>25-03-26 23:54</t>
  </si>
  <si>
    <t>25-03-26 16:12</t>
  </si>
  <si>
    <t>25-03-26 16:14</t>
  </si>
  <si>
    <t>25-03-26 17:26</t>
  </si>
  <si>
    <t>25-03-26 18:43</t>
  </si>
  <si>
    <t>25-03-26 23:11</t>
  </si>
  <si>
    <t>26-03-26 00:20</t>
  </si>
  <si>
    <t>25-03-26 21:50</t>
  </si>
  <si>
    <t>25-03-26 23:10</t>
  </si>
  <si>
    <t>26-03-26 03:03</t>
  </si>
  <si>
    <t>26-03-26 01:46</t>
  </si>
  <si>
    <t>26-03-26 05:55</t>
  </si>
  <si>
    <t>25-03-26 17:52</t>
  </si>
  <si>
    <t>26-03-26 03:20</t>
  </si>
  <si>
    <t>26-03-26 04:39</t>
  </si>
  <si>
    <t>№640</t>
  </si>
  <si>
    <t>№639</t>
  </si>
  <si>
    <t>№43</t>
  </si>
  <si>
    <t>№644</t>
  </si>
  <si>
    <t>№642</t>
  </si>
  <si>
    <t>№641</t>
  </si>
  <si>
    <t>№645</t>
  </si>
  <si>
    <t>26-03-26 07:07</t>
  </si>
  <si>
    <t>26-03-26 07:10</t>
  </si>
  <si>
    <t>№643</t>
  </si>
  <si>
    <t>№РЦ14/31</t>
  </si>
  <si>
    <t>№261</t>
  </si>
  <si>
    <t>№260</t>
  </si>
  <si>
    <t>№262</t>
  </si>
  <si>
    <t>№259</t>
  </si>
  <si>
    <t>№647</t>
  </si>
  <si>
    <t>№646</t>
  </si>
  <si>
    <t>ОЖ.ОТПР.НР</t>
  </si>
  <si>
    <t>23-03-26 21:37</t>
  </si>
  <si>
    <t>24-03-26 20:41</t>
  </si>
  <si>
    <t>СЛД-16 ВОЛХОВ</t>
  </si>
  <si>
    <t>СЛ.В РЕМ</t>
  </si>
  <si>
    <t>Свирь-Бабаево</t>
  </si>
  <si>
    <t>24-03-26 12:05</t>
  </si>
  <si>
    <t>24-03-26 22:17</t>
  </si>
  <si>
    <t>27-03-26 02:33</t>
  </si>
  <si>
    <t>26-03-26 13:38</t>
  </si>
  <si>
    <t>26-03-26 20:38</t>
  </si>
  <si>
    <t>26-03-26 21:54</t>
  </si>
  <si>
    <t>26-03-26 09:18</t>
  </si>
  <si>
    <t>26-03-26 11:02</t>
  </si>
  <si>
    <t>26-03-26 12:26</t>
  </si>
  <si>
    <t>26-03-26 11:07</t>
  </si>
  <si>
    <t>26-03-26 14:17</t>
  </si>
  <si>
    <t>26-03-26 15:37</t>
  </si>
  <si>
    <t>26-03-26 14:39</t>
  </si>
  <si>
    <t>26-03-26 22:14</t>
  </si>
  <si>
    <t>26-03-26 23:46</t>
  </si>
  <si>
    <t>26-03-26 18:11</t>
  </si>
  <si>
    <t>27-03-26 01:44</t>
  </si>
  <si>
    <t>27-03-26 03:12</t>
  </si>
  <si>
    <t>26-03-26 08:12</t>
  </si>
  <si>
    <t>26-03-26 19:25</t>
  </si>
  <si>
    <t>27-03-26 00:01</t>
  </si>
  <si>
    <t>27-03-26 01:24</t>
  </si>
  <si>
    <t>27-03-26 06:18</t>
  </si>
  <si>
    <t>№652</t>
  </si>
  <si>
    <t>№649</t>
  </si>
  <si>
    <t>№651</t>
  </si>
  <si>
    <t>№653</t>
  </si>
  <si>
    <t>№655</t>
  </si>
  <si>
    <t>№654</t>
  </si>
  <si>
    <t>27-03-26 07:34</t>
  </si>
  <si>
    <t>27-03-26 09:02</t>
  </si>
  <si>
    <t>27-03-26 16:25</t>
  </si>
  <si>
    <t>27-03-26 22:48</t>
  </si>
  <si>
    <t>27-03-26 23:58</t>
  </si>
  <si>
    <t>27-03-26 13:03</t>
  </si>
  <si>
    <t>27-03-26 20:13</t>
  </si>
  <si>
    <t>27-03-26 21:22</t>
  </si>
  <si>
    <t>29-03-26 00:49</t>
  </si>
  <si>
    <t>29-03-26 15:49</t>
  </si>
  <si>
    <t>29-03-26 16:39</t>
  </si>
  <si>
    <t>27-03-26 19:16</t>
  </si>
  <si>
    <t>27-03-26 21:17</t>
  </si>
  <si>
    <t>27-03-26 22:21</t>
  </si>
  <si>
    <t>28-03-26 09:51</t>
  </si>
  <si>
    <t>28-03-26 11:50</t>
  </si>
  <si>
    <t>28-03-26 13:02</t>
  </si>
  <si>
    <t>27-03-26 08:38</t>
  </si>
  <si>
    <t>27-03-26 20:11</t>
  </si>
  <si>
    <t>28-03-26 19:31</t>
  </si>
  <si>
    <t>28-03-26 22:49</t>
  </si>
  <si>
    <t>29-03-26 01:55</t>
  </si>
  <si>
    <t>29-03-26 05:59</t>
  </si>
  <si>
    <t>29-03-26 12:20</t>
  </si>
  <si>
    <t>29-03-26 12:46</t>
  </si>
  <si>
    <t>29-03-26 13:57</t>
  </si>
  <si>
    <t>28-03-26 13:20</t>
  </si>
  <si>
    <t>28-03-26 14:01</t>
  </si>
  <si>
    <t>28-03-26 15:16</t>
  </si>
  <si>
    <t>27-03-26 22:35</t>
  </si>
  <si>
    <t>27-03-26 22:43</t>
  </si>
  <si>
    <t>28-03-26 00:38</t>
  </si>
  <si>
    <t>30-03-26 03:50</t>
  </si>
  <si>
    <t>30-03-26 04:48</t>
  </si>
  <si>
    <t>30-03-26 05:59</t>
  </si>
  <si>
    <t>28-03-26 14:50</t>
  </si>
  <si>
    <t>28-03-26 17:35</t>
  </si>
  <si>
    <t>28-03-26 18:47</t>
  </si>
  <si>
    <t>28-03-26 15:35</t>
  </si>
  <si>
    <t>28-03-26 16:15</t>
  </si>
  <si>
    <t>28-03-26 17:34</t>
  </si>
  <si>
    <t>29-03-26 04:29</t>
  </si>
  <si>
    <t>29-03-26 06:45</t>
  </si>
  <si>
    <t>29-03-26 07:47</t>
  </si>
  <si>
    <t>29-03-26 08:39</t>
  </si>
  <si>
    <t>29-03-26 08:52</t>
  </si>
  <si>
    <t>29-03-26 10:09</t>
  </si>
  <si>
    <t>29-03-26 06:55</t>
  </si>
  <si>
    <t>29-03-26 10:43</t>
  </si>
  <si>
    <t>29-03-26 12:04</t>
  </si>
  <si>
    <t>29-03-26 14:58</t>
  </si>
  <si>
    <t>29-03-26 17:31</t>
  </si>
  <si>
    <t>29-03-26 18:49</t>
  </si>
  <si>
    <t>28-03-26 01:37</t>
  </si>
  <si>
    <t>29-03-26 11:50</t>
  </si>
  <si>
    <t>28-03-26 19:09</t>
  </si>
  <si>
    <t>29-03-26 02:58</t>
  </si>
  <si>
    <t>29-03-26 04:08</t>
  </si>
  <si>
    <t>28-03-26 06:38</t>
  </si>
  <si>
    <t>28-03-26 17:22</t>
  </si>
  <si>
    <t>28-03-26 17:49</t>
  </si>
  <si>
    <t>30-03-26 05:21</t>
  </si>
  <si>
    <t>28-03-26 07:40</t>
  </si>
  <si>
    <t>28-03-26 12:31</t>
  </si>
  <si>
    <t>28-03-26 13:13</t>
  </si>
  <si>
    <t>29-03-26 16:38</t>
  </si>
  <si>
    <t>29-03-26 18:48</t>
  </si>
  <si>
    <t>29-03-26 19:54</t>
  </si>
  <si>
    <t>29-03-26 01:30</t>
  </si>
  <si>
    <t>29-03-26 15:56</t>
  </si>
  <si>
    <t>29-03-26 17:06</t>
  </si>
  <si>
    <t>29-03-26 12:25</t>
  </si>
  <si>
    <t>29-03-26 15:35</t>
  </si>
  <si>
    <t>29-03-26 17:04</t>
  </si>
  <si>
    <t>27-03-26 09:41</t>
  </si>
  <si>
    <t>27-03-26 10:49</t>
  </si>
  <si>
    <t>№660</t>
  </si>
  <si>
    <t>№658</t>
  </si>
  <si>
    <t>№659</t>
  </si>
  <si>
    <t>№661</t>
  </si>
  <si>
    <t>№656</t>
  </si>
  <si>
    <t>№670</t>
  </si>
  <si>
    <t>№662</t>
  </si>
  <si>
    <t>№675</t>
  </si>
  <si>
    <t>№664</t>
  </si>
  <si>
    <t>№663</t>
  </si>
  <si>
    <t>№667</t>
  </si>
  <si>
    <t>№668</t>
  </si>
  <si>
    <t>№669</t>
  </si>
  <si>
    <t>№672</t>
  </si>
  <si>
    <t>№666</t>
  </si>
  <si>
    <t>№673</t>
  </si>
  <si>
    <t>№671</t>
  </si>
  <si>
    <t>№657</t>
  </si>
  <si>
    <t>№44</t>
  </si>
  <si>
    <t>№45</t>
  </si>
  <si>
    <t>№272</t>
  </si>
  <si>
    <t>№277</t>
  </si>
  <si>
    <t>27-03-26 21:50</t>
  </si>
  <si>
    <t>30-03-26 18:54</t>
  </si>
  <si>
    <t>31-03-26 04:10</t>
  </si>
  <si>
    <t>31-03-26 05:27</t>
  </si>
  <si>
    <t>28-03-26 02:31</t>
  </si>
  <si>
    <t>30-03-26 09:54</t>
  </si>
  <si>
    <t>30-03-26 21:21</t>
  </si>
  <si>
    <t>№46</t>
  </si>
  <si>
    <t>30-03-26 11:39</t>
  </si>
  <si>
    <t>30-03-26 12:57</t>
  </si>
  <si>
    <t>30-03-26 14:06</t>
  </si>
  <si>
    <t>30-03-26 15:38</t>
  </si>
  <si>
    <t>30-03-26 22:41</t>
  </si>
  <si>
    <t>30-03-26 23:51</t>
  </si>
  <si>
    <t>31-03-26 02:11</t>
  </si>
  <si>
    <t>30-03-26 14:55</t>
  </si>
  <si>
    <t>30-03-26 16:37</t>
  </si>
  <si>
    <t>30-03-26 17:43</t>
  </si>
  <si>
    <t>30-03-26 10:58</t>
  </si>
  <si>
    <t>30-03-26 11:12</t>
  </si>
  <si>
    <t>30-03-26 12:13</t>
  </si>
  <si>
    <t>30-03-26 19:22</t>
  </si>
  <si>
    <t>30-03-26 19:42</t>
  </si>
  <si>
    <t>№682</t>
  </si>
  <si>
    <t>№678</t>
  </si>
  <si>
    <t>№681</t>
  </si>
  <si>
    <t>№679</t>
  </si>
  <si>
    <t>30-03-26 15:51</t>
  </si>
  <si>
    <t>№676</t>
  </si>
  <si>
    <t>28-03-26 05:45</t>
  </si>
  <si>
    <t>28-03-26 07:39</t>
  </si>
  <si>
    <t>Коли-Бабаево</t>
  </si>
  <si>
    <t>28-03-26 17:21</t>
  </si>
  <si>
    <t>ОЖ.НР</t>
  </si>
  <si>
    <t>№РЦ14/32</t>
  </si>
  <si>
    <t>№РЦ14/38</t>
  </si>
  <si>
    <t>31-03-26 07:42</t>
  </si>
  <si>
    <t>31-03-26 08:31</t>
  </si>
  <si>
    <t>31-03-26 09:38</t>
  </si>
  <si>
    <t>№276</t>
  </si>
  <si>
    <t>31-03-26 07:45</t>
  </si>
  <si>
    <t>№47</t>
  </si>
  <si>
    <t>31-03-26 09:44</t>
  </si>
  <si>
    <t>31-03-26 13:45</t>
  </si>
  <si>
    <t>№РЦ14/34</t>
  </si>
  <si>
    <t>31-03-26 18:13</t>
  </si>
  <si>
    <t>31-03-26 20:15</t>
  </si>
  <si>
    <t>31-03-26 18:51</t>
  </si>
  <si>
    <t>31-03-26 14:51</t>
  </si>
  <si>
    <t>30-03-26 16:59</t>
  </si>
  <si>
    <t>№684</t>
  </si>
  <si>
    <t>№683</t>
  </si>
  <si>
    <t>СУ-36 СПБ-СОРТ-МОСК</t>
  </si>
  <si>
    <t>29-03-26 15:48</t>
  </si>
  <si>
    <t>Отчёт по пробегам секций локомотивов, времени пребывания локомотивов в эксплуатируемом и неэксплуатируемом парках</t>
  </si>
  <si>
    <t>Дата и время выдачи справки: 2026-04-01 05.06</t>
  </si>
  <si>
    <t>Начало интервала: 2026-02-28 18.00.00</t>
  </si>
  <si>
    <t>Окончание интервала: 2026-03-31 18.00.00</t>
  </si>
  <si>
    <t>Дирекция тяги приписки: Октябрьская</t>
  </si>
  <si>
    <t>Депо приписки: ТЧЭ-21 ВОЛХОВСТРОЙ</t>
  </si>
  <si>
    <t>Вид тяги: электровозы</t>
  </si>
  <si>
    <t>Род службы ТПС: все</t>
  </si>
  <si>
    <t>Группа серий ТПС: все</t>
  </si>
  <si>
    <t>Серия локомотивов: 2ЭС6</t>
  </si>
  <si>
    <t>Номер секции: все</t>
  </si>
  <si>
    <t>Признак секции: все</t>
  </si>
  <si>
    <t>Отчёт по пробегам локомотивов</t>
  </si>
  <si>
    <t>Дирекция</t>
  </si>
  <si>
    <t>Депо</t>
  </si>
  <si>
    <t>Фактический</t>
  </si>
  <si>
    <t>Фактическое время в</t>
  </si>
  <si>
    <t>тяги</t>
  </si>
  <si>
    <t>приписки</t>
  </si>
  <si>
    <t>локомотива</t>
  </si>
  <si>
    <t>секции</t>
  </si>
  <si>
    <t>пробег</t>
  </si>
  <si>
    <t>эксплуатируемом парке, ч</t>
  </si>
  <si>
    <t>неэксплуатируемом парке, ч</t>
  </si>
  <si>
    <t>км</t>
  </si>
  <si>
    <t>ч</t>
  </si>
  <si>
    <t>Итого</t>
  </si>
  <si>
    <t>В том числе в</t>
  </si>
  <si>
    <t>В том числе в ожидании ТО-2, на ТО-2 и экипировке</t>
  </si>
  <si>
    <t>В том числе на</t>
  </si>
  <si>
    <t>рабочем парке</t>
  </si>
  <si>
    <t>ожидании работы</t>
  </si>
  <si>
    <t>плановых ТО, ТР</t>
  </si>
  <si>
    <t>неплановых ремонтах</t>
  </si>
  <si>
    <t>Октябрьская</t>
  </si>
  <si>
    <t>ТЧЭ-21 ВОЛХОВСТРОЙ</t>
  </si>
  <si>
    <t>1539 A</t>
  </si>
  <si>
    <t>1539 Б</t>
  </si>
  <si>
    <t>1540 A</t>
  </si>
  <si>
    <t>1540 Б</t>
  </si>
  <si>
    <t>1541 A</t>
  </si>
  <si>
    <t>1541 Б</t>
  </si>
  <si>
    <t>1542 A</t>
  </si>
  <si>
    <t>1542 Б</t>
  </si>
  <si>
    <t>1543 A</t>
  </si>
  <si>
    <t>1543 Б</t>
  </si>
  <si>
    <t>1544 A</t>
  </si>
  <si>
    <t>1544 Б</t>
  </si>
  <si>
    <t>1545 A</t>
  </si>
  <si>
    <t>1545 Б</t>
  </si>
  <si>
    <t>1546 A</t>
  </si>
  <si>
    <t>1546 Б</t>
  </si>
  <si>
    <t>1547 A</t>
  </si>
  <si>
    <t>1547 Б</t>
  </si>
  <si>
    <t>1548 A</t>
  </si>
  <si>
    <t>1548 Б</t>
  </si>
  <si>
    <t>1602 A</t>
  </si>
  <si>
    <t>1602 Б</t>
  </si>
  <si>
    <t>1603 A</t>
  </si>
  <si>
    <t>1603 Б</t>
  </si>
  <si>
    <t>1604 A</t>
  </si>
  <si>
    <t>1604 Б</t>
  </si>
  <si>
    <t>1605 A</t>
  </si>
  <si>
    <t>1605 Б</t>
  </si>
  <si>
    <t>1606 A</t>
  </si>
  <si>
    <t>1606 Б</t>
  </si>
  <si>
    <t>1607 A</t>
  </si>
  <si>
    <t>1607 Б</t>
  </si>
  <si>
    <t>1608 A</t>
  </si>
  <si>
    <t>1608 Б</t>
  </si>
  <si>
    <t>1609 A</t>
  </si>
  <si>
    <t>1609 Б</t>
  </si>
  <si>
    <t>1610 A</t>
  </si>
  <si>
    <t>1610 Б</t>
  </si>
  <si>
    <t>1611 A</t>
  </si>
  <si>
    <t>1611 Б</t>
  </si>
  <si>
    <t>1612 A</t>
  </si>
  <si>
    <t>1612 Б</t>
  </si>
  <si>
    <t>1613 A</t>
  </si>
  <si>
    <t>1613 Б</t>
  </si>
  <si>
    <t>1614 A</t>
  </si>
  <si>
    <t>1614 Б</t>
  </si>
  <si>
    <t>1615 A</t>
  </si>
  <si>
    <t>1615 Б</t>
  </si>
  <si>
    <t>1616 A</t>
  </si>
  <si>
    <t>1616 Б</t>
  </si>
  <si>
    <t>1617 A</t>
  </si>
  <si>
    <t>1617 Б</t>
  </si>
  <si>
    <t>1618 A</t>
  </si>
  <si>
    <t>1618 Б</t>
  </si>
  <si>
    <t>1619 A</t>
  </si>
  <si>
    <t>1619 Б</t>
  </si>
  <si>
    <t>1620 A</t>
  </si>
  <si>
    <t>1620 Б</t>
  </si>
  <si>
    <t>1621 A</t>
  </si>
  <si>
    <t>1621 Б</t>
  </si>
  <si>
    <t>1622 A</t>
  </si>
  <si>
    <t>1622 Б</t>
  </si>
  <si>
    <t>1623 A</t>
  </si>
  <si>
    <t>1623 Б</t>
  </si>
  <si>
    <t>1624 A</t>
  </si>
  <si>
    <t>1624 Б</t>
  </si>
  <si>
    <t>1625 A</t>
  </si>
  <si>
    <t>1625 Б</t>
  </si>
  <si>
    <t>1626 A</t>
  </si>
  <si>
    <t>1626 Б</t>
  </si>
  <si>
    <t>1627 A</t>
  </si>
  <si>
    <t>1627 Б</t>
  </si>
  <si>
    <t>1628 A</t>
  </si>
  <si>
    <t>1628 Б</t>
  </si>
  <si>
    <t>1629 A</t>
  </si>
  <si>
    <t>1629 Б</t>
  </si>
  <si>
    <t>1630 A</t>
  </si>
  <si>
    <t>1630 Б</t>
  </si>
  <si>
    <t>1631 A</t>
  </si>
  <si>
    <t>1631 Б</t>
  </si>
  <si>
    <t>1632 A</t>
  </si>
  <si>
    <t>1632 Б</t>
  </si>
  <si>
    <t>1633 A</t>
  </si>
  <si>
    <t>1633 Б</t>
  </si>
  <si>
    <t>1634 A</t>
  </si>
  <si>
    <t>1634 Б</t>
  </si>
  <si>
    <t>1635 A</t>
  </si>
  <si>
    <t>1635 Б</t>
  </si>
  <si>
    <t>1636 A</t>
  </si>
  <si>
    <t>1636 Б</t>
  </si>
  <si>
    <t>1637 A</t>
  </si>
  <si>
    <t>1637 Б</t>
  </si>
  <si>
    <t>1638 A</t>
  </si>
  <si>
    <t>1638 Б</t>
  </si>
  <si>
    <t>1639 A</t>
  </si>
  <si>
    <t>1639 Б</t>
  </si>
  <si>
    <t>1640 A</t>
  </si>
  <si>
    <t>1640 Б</t>
  </si>
  <si>
    <t>1641 A</t>
  </si>
  <si>
    <t>1641 Б</t>
  </si>
  <si>
    <t>1642 A</t>
  </si>
  <si>
    <t>1642 Б</t>
  </si>
  <si>
    <t>1643 A</t>
  </si>
  <si>
    <t>1643 Б</t>
  </si>
  <si>
    <t>1644 A</t>
  </si>
  <si>
    <t>1644 Б</t>
  </si>
  <si>
    <t>1645 A</t>
  </si>
  <si>
    <t>1645 Б</t>
  </si>
  <si>
    <t>1646 A</t>
  </si>
  <si>
    <t>1646 Б</t>
  </si>
  <si>
    <t>1647 A</t>
  </si>
  <si>
    <t>1647 Б</t>
  </si>
  <si>
    <t>1648 A</t>
  </si>
  <si>
    <t>1648 Б</t>
  </si>
  <si>
    <t>1649 A</t>
  </si>
  <si>
    <t>1649 Б</t>
  </si>
  <si>
    <t>1650 A</t>
  </si>
  <si>
    <t>1650 Б</t>
  </si>
  <si>
    <t>1651 A</t>
  </si>
  <si>
    <t>1651 Б</t>
  </si>
  <si>
    <t>1652 A</t>
  </si>
  <si>
    <t>1652 Б</t>
  </si>
  <si>
    <t>1655 A</t>
  </si>
  <si>
    <t>1655 Б</t>
  </si>
  <si>
    <t>1656 A</t>
  </si>
  <si>
    <t>1656 Б</t>
  </si>
  <si>
    <t>1657 A</t>
  </si>
  <si>
    <t>1657 Б</t>
  </si>
  <si>
    <t>1658 A</t>
  </si>
  <si>
    <t>1658 Б</t>
  </si>
  <si>
    <t>1659 A</t>
  </si>
  <si>
    <t>1659 Б</t>
  </si>
  <si>
    <t>1660 A</t>
  </si>
  <si>
    <t>1660 Б</t>
  </si>
  <si>
    <t>1661 A</t>
  </si>
  <si>
    <t>1661 Б</t>
  </si>
  <si>
    <t>1662 A</t>
  </si>
  <si>
    <t>1662 Б</t>
  </si>
  <si>
    <t>1663 A</t>
  </si>
  <si>
    <t>1663 Б</t>
  </si>
  <si>
    <t>1664 A</t>
  </si>
  <si>
    <t>1664 Б</t>
  </si>
  <si>
    <t>1665 A</t>
  </si>
  <si>
    <t>1665 Б</t>
  </si>
  <si>
    <t>1666 A</t>
  </si>
  <si>
    <t>1666 Б</t>
  </si>
  <si>
    <t>1667 A</t>
  </si>
  <si>
    <t>1667 Б</t>
  </si>
  <si>
    <t>1668 A</t>
  </si>
  <si>
    <t>1668 Б</t>
  </si>
  <si>
    <t>1669 A</t>
  </si>
  <si>
    <t>1669 Б</t>
  </si>
  <si>
    <t>1670 A</t>
  </si>
  <si>
    <t>1670 Б</t>
  </si>
  <si>
    <t>Итого:</t>
  </si>
  <si>
    <t>Страница 1 из 8</t>
  </si>
  <si>
    <t>Страница 2 из 8</t>
  </si>
  <si>
    <t>Страница 3 из 8</t>
  </si>
  <si>
    <t>Страница 4 из 8</t>
  </si>
  <si>
    <t>Страница 5 из 8</t>
  </si>
  <si>
    <t>Страница 6 из 8</t>
  </si>
  <si>
    <t>Страница 7 из 8</t>
  </si>
  <si>
    <t>Эксплуатация</t>
  </si>
  <si>
    <t>Пробег</t>
  </si>
  <si>
    <t>Обслуживание</t>
  </si>
  <si>
    <t>Рекламация</t>
  </si>
  <si>
    <t>Адм.изд.</t>
  </si>
  <si>
    <t>План КГЭ</t>
  </si>
  <si>
    <t>Адм.изд. РЖД раб</t>
  </si>
  <si>
    <t>НР РЖД</t>
  </si>
  <si>
    <t>Адм.изд. РЖД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</si>
</sst>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\ _₽_-;\-* #,##0.00\ _₽_-;_-* &quot;-&quot;??\ _₽_-;_-@_-"/>
    <numFmt numFmtId="165" formatCode="h:mm;@"/>
    <numFmt numFmtId="166" formatCode="[$-F400]h:mm:ss\ AM/PM"/>
    <numFmt numFmtId="167" formatCode="[$-419]d\-mmm\-yyyy;@"/>
    <numFmt numFmtId="168" formatCode="dd/mm/yy\ h:mm;@"/>
    <numFmt numFmtId="169" formatCode="[$-419]mmmm;@"/>
    <numFmt numFmtId="170" formatCode="_-* #,##0.00_р_._-;\-* #,##0.00_р_._-;_-* &quot;-&quot;??_р_._-;_-@_-"/>
    <numFmt numFmtId="171" formatCode="#,##0.00\ _₽"/>
    <numFmt numFmtId="172" formatCode="0.00000"/>
    <numFmt numFmtId="173" formatCode="_-* #,##0.0000_-;\-* #,##0.0000_-;_-* &quot;-&quot;??_-;_-@_-"/>
    <numFmt numFmtId="174" formatCode="0.000"/>
    <numFmt numFmtId="175" formatCode="#,##0.000"/>
  </numFmts>
  <fonts count="1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Arial"/>
      <family val="2"/>
      <charset val="204"/>
    </font>
    <font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10"/>
      <name val="Arial Cyr"/>
      <charset val="204"/>
    </font>
    <font>
      <sz val="14"/>
      <color rgb="FFFF0000"/>
      <name val="Calibri"/>
      <family val="2"/>
      <scheme val="minor"/>
    </font>
    <font>
      <b/>
      <sz val="14"/>
      <name val="Times New Roman"/>
      <family val="1"/>
      <charset val="204"/>
    </font>
    <font>
      <sz val="14"/>
      <name val="Calibri"/>
      <family val="2"/>
      <scheme val="minor"/>
    </font>
    <font>
      <vertAlign val="superscript"/>
      <sz val="14"/>
      <name val="Times New Roman"/>
      <family val="1"/>
      <charset val="204"/>
    </font>
    <font>
      <sz val="11"/>
      <name val="Calibri"/>
      <family val="2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0" tint="-0.14999847407452621"/>
      <name val="Calibri"/>
      <family val="2"/>
      <scheme val="minor"/>
    </font>
    <font>
      <b/>
      <sz val="12"/>
      <name val="Times New Roman"/>
      <family val="1"/>
      <charset val="204"/>
    </font>
    <font>
      <sz val="11"/>
      <color rgb="FF000000"/>
      <name val="Calibri"/>
      <family val="2"/>
    </font>
    <font>
      <sz val="11"/>
      <color theme="1" tint="0.34998626667073579"/>
      <name val="Calibri"/>
      <family val="2"/>
      <scheme val="minor"/>
    </font>
    <font>
      <sz val="14"/>
      <color theme="1" tint="0.34998626667073579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14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4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11"/>
      <name val="Calibri"/>
      <family val="2"/>
      <scheme val="minor"/>
    </font>
    <font>
      <sz val="10"/>
      <color indexed="8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b/>
      <sz val="9"/>
      <color rgb="FF000000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</borders>
  <cellStyleXfs count="83">
    <xf numFmtId="0" fontId="0" fillId="0" borderId="0"/>
    <xf numFmtId="0" fontId="32" fillId="0" borderId="0"/>
    <xf numFmtId="0" fontId="39" fillId="0" borderId="0"/>
    <xf numFmtId="0" fontId="39" fillId="0" borderId="0"/>
    <xf numFmtId="0" fontId="31" fillId="0" borderId="0"/>
    <xf numFmtId="0" fontId="44" fillId="0" borderId="0"/>
    <xf numFmtId="170" fontId="44" fillId="0" borderId="0" applyFont="0" applyFill="0" applyBorder="0" applyAlignment="0" applyProtection="0"/>
    <xf numFmtId="0" fontId="49" fillId="0" borderId="0"/>
    <xf numFmtId="0" fontId="50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2" fillId="0" borderId="0" applyBorder="0"/>
    <xf numFmtId="0" fontId="65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82" fillId="0" borderId="0"/>
    <xf numFmtId="0" fontId="84" fillId="0" borderId="0"/>
    <xf numFmtId="43" fontId="85" fillId="0" borderId="0" applyFont="0" applyFill="0" applyBorder="0" applyAlignment="0" applyProtection="0"/>
    <xf numFmtId="0" fontId="87" fillId="0" borderId="0"/>
    <xf numFmtId="0" fontId="88" fillId="0" borderId="0"/>
    <xf numFmtId="0" fontId="91" fillId="0" borderId="0"/>
    <xf numFmtId="0" fontId="92" fillId="0" borderId="0"/>
    <xf numFmtId="0" fontId="93" fillId="0" borderId="0"/>
    <xf numFmtId="0" fontId="94" fillId="0" borderId="0" applyNumberFormat="0" applyFill="0" applyBorder="0" applyAlignment="0" applyProtection="0"/>
    <xf numFmtId="0" fontId="95" fillId="0" borderId="0"/>
    <xf numFmtId="0" fontId="96" fillId="0" borderId="0"/>
    <xf numFmtId="0" fontId="98" fillId="0" borderId="0"/>
    <xf numFmtId="0" fontId="99" fillId="0" borderId="0"/>
    <xf numFmtId="0" fontId="30" fillId="0" borderId="0"/>
    <xf numFmtId="0" fontId="29" fillId="0" borderId="0"/>
    <xf numFmtId="0" fontId="100" fillId="0" borderId="0"/>
    <xf numFmtId="0" fontId="28" fillId="0" borderId="0"/>
    <xf numFmtId="0" fontId="101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102" fillId="0" borderId="0"/>
    <xf numFmtId="0" fontId="22" fillId="0" borderId="0"/>
    <xf numFmtId="0" fontId="103" fillId="0" borderId="0"/>
    <xf numFmtId="0" fontId="21" fillId="0" borderId="0"/>
    <xf numFmtId="0" fontId="20" fillId="0" borderId="0"/>
    <xf numFmtId="0" fontId="19" fillId="0" borderId="0"/>
    <xf numFmtId="0" fontId="104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05" fillId="0" borderId="0"/>
    <xf numFmtId="0" fontId="106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7" fillId="0" borderId="0"/>
    <xf numFmtId="0" fontId="111" fillId="0" borderId="0"/>
    <xf numFmtId="0" fontId="6" fillId="0" borderId="0"/>
    <xf numFmtId="0" fontId="113" fillId="0" borderId="0"/>
    <xf numFmtId="0" fontId="5" fillId="0" borderId="0"/>
    <xf numFmtId="0" fontId="115" fillId="0" borderId="0"/>
    <xf numFmtId="0" fontId="4" fillId="0" borderId="0"/>
    <xf numFmtId="0" fontId="117" fillId="0" borderId="0"/>
    <xf numFmtId="0" fontId="3" fillId="0" borderId="0"/>
    <xf numFmtId="0" fontId="2" fillId="0" borderId="0"/>
    <xf numFmtId="0" fontId="1" fillId="0" borderId="0"/>
  </cellStyleXfs>
  <cellXfs count="617">
    <xf numFmtId="0" fontId="0" fillId="0" borderId="0" xfId="0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/>
    <xf numFmtId="0" fontId="36" fillId="0" borderId="0" xfId="0" applyFont="1"/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8" fillId="2" borderId="3" xfId="0" applyFont="1" applyFill="1" applyBorder="1" applyAlignment="1">
      <alignment horizontal="center" vertical="center" wrapText="1"/>
    </xf>
    <xf numFmtId="167" fontId="38" fillId="2" borderId="3" xfId="0" applyNumberFormat="1" applyFont="1" applyFill="1" applyBorder="1" applyAlignment="1">
      <alignment horizontal="center" vertical="center" wrapText="1"/>
    </xf>
    <xf numFmtId="0" fontId="42" fillId="0" borderId="0" xfId="0" applyFont="1"/>
    <xf numFmtId="169" fontId="0" fillId="0" borderId="0" xfId="0" applyNumberFormat="1"/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justify" vertical="center" wrapText="1"/>
    </xf>
    <xf numFmtId="0" fontId="41" fillId="0" borderId="0" xfId="0" applyFont="1" applyAlignment="1">
      <alignment vertical="center"/>
    </xf>
    <xf numFmtId="0" fontId="51" fillId="0" borderId="0" xfId="0" applyFont="1"/>
    <xf numFmtId="169" fontId="60" fillId="0" borderId="0" xfId="0" applyNumberFormat="1" applyFont="1" applyAlignment="1">
      <alignment vertical="top"/>
    </xf>
    <xf numFmtId="0" fontId="60" fillId="0" borderId="0" xfId="0" applyFont="1" applyAlignment="1">
      <alignment vertical="top"/>
    </xf>
    <xf numFmtId="169" fontId="60" fillId="0" borderId="0" xfId="0" applyNumberFormat="1" applyFont="1"/>
    <xf numFmtId="0" fontId="60" fillId="0" borderId="0" xfId="0" applyFont="1"/>
    <xf numFmtId="0" fontId="60" fillId="3" borderId="0" xfId="0" applyFont="1" applyFill="1" applyAlignment="1">
      <alignment vertical="top"/>
    </xf>
    <xf numFmtId="169" fontId="60" fillId="3" borderId="0" xfId="0" applyNumberFormat="1" applyFont="1" applyFill="1"/>
    <xf numFmtId="0" fontId="60" fillId="3" borderId="0" xfId="0" applyFont="1" applyFill="1"/>
    <xf numFmtId="0" fontId="40" fillId="0" borderId="0" xfId="0" applyFont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61" fillId="2" borderId="3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1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2" fontId="41" fillId="0" borderId="0" xfId="0" applyNumberFormat="1" applyFont="1" applyAlignment="1">
      <alignment vertical="center"/>
    </xf>
    <xf numFmtId="0" fontId="63" fillId="0" borderId="0" xfId="0" applyFont="1"/>
    <xf numFmtId="169" fontId="63" fillId="0" borderId="0" xfId="0" applyNumberFormat="1" applyFont="1"/>
    <xf numFmtId="49" fontId="64" fillId="3" borderId="0" xfId="2" applyNumberFormat="1" applyFont="1" applyFill="1" applyAlignment="1">
      <alignment horizontal="center" vertical="center" wrapText="1"/>
    </xf>
    <xf numFmtId="0" fontId="46" fillId="2" borderId="3" xfId="0" applyFont="1" applyFill="1" applyBorder="1" applyAlignment="1">
      <alignment horizontal="center" vertical="center" wrapText="1"/>
    </xf>
    <xf numFmtId="2" fontId="42" fillId="0" borderId="0" xfId="0" applyNumberFormat="1" applyFont="1"/>
    <xf numFmtId="0" fontId="67" fillId="3" borderId="0" xfId="2" applyFont="1" applyFill="1" applyAlignment="1">
      <alignment vertical="center"/>
    </xf>
    <xf numFmtId="22" fontId="67" fillId="0" borderId="0" xfId="12" applyNumberFormat="1" applyFont="1" applyAlignment="1">
      <alignment horizontal="left" vertical="center"/>
    </xf>
    <xf numFmtId="0" fontId="67" fillId="3" borderId="0" xfId="0" applyFont="1" applyFill="1" applyAlignment="1">
      <alignment horizontal="left" vertical="center"/>
    </xf>
    <xf numFmtId="2" fontId="67" fillId="3" borderId="0" xfId="0" applyNumberFormat="1" applyFont="1" applyFill="1" applyAlignment="1">
      <alignment horizontal="center" vertical="center"/>
    </xf>
    <xf numFmtId="0" fontId="42" fillId="3" borderId="0" xfId="0" applyFont="1" applyFill="1"/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justify" vertical="center"/>
    </xf>
    <xf numFmtId="0" fontId="45" fillId="0" borderId="0" xfId="0" applyFont="1"/>
    <xf numFmtId="0" fontId="61" fillId="2" borderId="3" xfId="0" applyFont="1" applyFill="1" applyBorder="1" applyAlignment="1">
      <alignment horizontal="center" vertical="center"/>
    </xf>
    <xf numFmtId="0" fontId="41" fillId="0" borderId="0" xfId="0" applyFont="1" applyAlignment="1">
      <alignment horizontal="justify" vertical="center" wrapText="1"/>
    </xf>
    <xf numFmtId="3" fontId="76" fillId="0" borderId="0" xfId="0" applyNumberFormat="1" applyFont="1" applyAlignment="1">
      <alignment horizontal="center" vertical="center" wrapText="1"/>
    </xf>
    <xf numFmtId="3" fontId="63" fillId="0" borderId="0" xfId="0" applyNumberFormat="1" applyFont="1"/>
    <xf numFmtId="2" fontId="63" fillId="0" borderId="0" xfId="0" applyNumberFormat="1" applyFont="1"/>
    <xf numFmtId="4" fontId="76" fillId="0" borderId="0" xfId="0" applyNumberFormat="1" applyFont="1" applyAlignment="1">
      <alignment horizontal="center" vertical="center" wrapText="1"/>
    </xf>
    <xf numFmtId="164" fontId="40" fillId="3" borderId="0" xfId="2" applyNumberFormat="1" applyFont="1" applyFill="1" applyAlignment="1">
      <alignment horizontal="center" vertical="center" wrapText="1"/>
    </xf>
    <xf numFmtId="164" fontId="63" fillId="0" borderId="0" xfId="0" applyNumberFormat="1" applyFont="1"/>
    <xf numFmtId="2" fontId="42" fillId="0" borderId="0" xfId="0" applyNumberFormat="1" applyFont="1" applyAlignment="1">
      <alignment horizontal="center"/>
    </xf>
    <xf numFmtId="4" fontId="83" fillId="0" borderId="0" xfId="0" applyNumberFormat="1" applyFont="1" applyAlignment="1">
      <alignment horizontal="center" vertical="center" wrapText="1"/>
    </xf>
    <xf numFmtId="14" fontId="63" fillId="0" borderId="0" xfId="0" applyNumberFormat="1" applyFont="1"/>
    <xf numFmtId="14" fontId="0" fillId="0" borderId="0" xfId="0" applyNumberFormat="1"/>
    <xf numFmtId="0" fontId="89" fillId="0" borderId="0" xfId="0" applyFont="1"/>
    <xf numFmtId="164" fontId="89" fillId="0" borderId="0" xfId="0" applyNumberFormat="1" applyFont="1"/>
    <xf numFmtId="165" fontId="90" fillId="0" borderId="0" xfId="0" applyNumberFormat="1" applyFont="1" applyAlignment="1">
      <alignment vertical="top"/>
    </xf>
    <xf numFmtId="0" fontId="90" fillId="0" borderId="0" xfId="0" applyFont="1" applyAlignment="1">
      <alignment vertical="top"/>
    </xf>
    <xf numFmtId="2" fontId="90" fillId="0" borderId="0" xfId="0" applyNumberFormat="1" applyFont="1" applyAlignment="1">
      <alignment vertical="top"/>
    </xf>
    <xf numFmtId="168" fontId="90" fillId="0" borderId="0" xfId="0" applyNumberFormat="1" applyFont="1" applyAlignment="1">
      <alignment vertical="top"/>
    </xf>
    <xf numFmtId="49" fontId="41" fillId="0" borderId="0" xfId="2" applyNumberFormat="1" applyFont="1" applyAlignment="1">
      <alignment horizontal="center" vertical="center" wrapText="1"/>
    </xf>
    <xf numFmtId="2" fontId="66" fillId="0" borderId="0" xfId="0" applyNumberFormat="1" applyFont="1"/>
    <xf numFmtId="4" fontId="41" fillId="0" borderId="0" xfId="0" applyNumberFormat="1" applyFont="1" applyAlignment="1">
      <alignment vertical="center"/>
    </xf>
    <xf numFmtId="172" fontId="40" fillId="0" borderId="0" xfId="0" applyNumberFormat="1" applyFont="1" applyAlignment="1">
      <alignment vertical="center"/>
    </xf>
    <xf numFmtId="0" fontId="90" fillId="0" borderId="0" xfId="0" applyFont="1"/>
    <xf numFmtId="0" fontId="41" fillId="0" borderId="0" xfId="0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1" fontId="42" fillId="0" borderId="0" xfId="0" applyNumberFormat="1" applyFont="1"/>
    <xf numFmtId="2" fontId="34" fillId="0" borderId="0" xfId="0" applyNumberFormat="1" applyFont="1"/>
    <xf numFmtId="3" fontId="90" fillId="0" borderId="0" xfId="0" applyNumberFormat="1" applyFont="1" applyAlignment="1">
      <alignment vertical="top"/>
    </xf>
    <xf numFmtId="2" fontId="90" fillId="0" borderId="0" xfId="0" applyNumberFormat="1" applyFont="1" applyAlignment="1">
      <alignment horizontal="center" vertical="top"/>
    </xf>
    <xf numFmtId="22" fontId="42" fillId="0" borderId="0" xfId="0" applyNumberFormat="1" applyFont="1"/>
    <xf numFmtId="0" fontId="41" fillId="0" borderId="15" xfId="39" applyFont="1" applyFill="1" applyBorder="1" applyAlignment="1">
      <alignment horizontal="center" vertical="center" wrapText="1"/>
    </xf>
    <xf numFmtId="0" fontId="41" fillId="0" borderId="15" xfId="2" applyFont="1" applyBorder="1" applyAlignment="1">
      <alignment horizontal="center" vertical="center"/>
    </xf>
    <xf numFmtId="0" fontId="14" fillId="0" borderId="0" xfId="0" applyFont="1"/>
    <xf numFmtId="0" fontId="90" fillId="3" borderId="0" xfId="0" applyFont="1" applyFill="1" applyAlignment="1">
      <alignment vertical="top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41" fillId="0" borderId="0" xfId="0" applyNumberFormat="1" applyFont="1" applyAlignment="1">
      <alignment horizontal="center" vertical="top" wrapText="1"/>
    </xf>
    <xf numFmtId="0" fontId="41" fillId="0" borderId="0" xfId="0" applyFont="1" applyAlignment="1">
      <alignment horizontal="center" vertical="top" wrapText="1"/>
    </xf>
    <xf numFmtId="166" fontId="41" fillId="0" borderId="0" xfId="0" applyNumberFormat="1" applyFont="1" applyAlignment="1">
      <alignment horizontal="center" vertical="top" wrapText="1"/>
    </xf>
    <xf numFmtId="49" fontId="41" fillId="0" borderId="4" xfId="2" applyNumberFormat="1" applyFont="1" applyBorder="1" applyAlignment="1">
      <alignment horizontal="center" vertical="center" wrapText="1"/>
    </xf>
    <xf numFmtId="0" fontId="41" fillId="0" borderId="0" xfId="0" applyFont="1" applyAlignment="1">
      <alignment horizontal="left" vertical="top"/>
    </xf>
    <xf numFmtId="1" fontId="41" fillId="0" borderId="0" xfId="0" applyNumberFormat="1" applyFont="1" applyAlignment="1">
      <alignment horizontal="center" vertical="top" wrapText="1"/>
    </xf>
    <xf numFmtId="2" fontId="41" fillId="0" borderId="0" xfId="0" applyNumberFormat="1" applyFont="1" applyAlignment="1">
      <alignment horizontal="center" vertical="top" wrapText="1"/>
    </xf>
    <xf numFmtId="14" fontId="66" fillId="0" borderId="0" xfId="0" applyNumberFormat="1" applyFont="1" applyAlignment="1">
      <alignment horizontal="center" vertical="center" wrapText="1"/>
    </xf>
    <xf numFmtId="2" fontId="97" fillId="0" borderId="0" xfId="0" applyNumberFormat="1" applyFont="1" applyAlignment="1">
      <alignment horizontal="center" vertical="top" wrapText="1"/>
    </xf>
    <xf numFmtId="171" fontId="42" fillId="0" borderId="0" xfId="0" applyNumberFormat="1" applyFont="1"/>
    <xf numFmtId="0" fontId="41" fillId="0" borderId="8" xfId="0" applyFont="1" applyBorder="1" applyAlignment="1">
      <alignment horizontal="center" vertical="center"/>
    </xf>
    <xf numFmtId="14" fontId="42" fillId="0" borderId="0" xfId="0" applyNumberFormat="1" applyFont="1"/>
    <xf numFmtId="2" fontId="107" fillId="0" borderId="0" xfId="0" applyNumberFormat="1" applyFont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justify" vertical="center"/>
    </xf>
    <xf numFmtId="0" fontId="47" fillId="0" borderId="0" xfId="0" applyFont="1"/>
    <xf numFmtId="0" fontId="108" fillId="0" borderId="0" xfId="0" applyFont="1"/>
    <xf numFmtId="0" fontId="109" fillId="0" borderId="0" xfId="0" applyFont="1" applyAlignment="1">
      <alignment horizontal="justify" vertical="center"/>
    </xf>
    <xf numFmtId="2" fontId="47" fillId="0" borderId="0" xfId="0" applyNumberFormat="1" applyFont="1"/>
    <xf numFmtId="0" fontId="40" fillId="3" borderId="0" xfId="0" applyFont="1" applyFill="1"/>
    <xf numFmtId="0" fontId="40" fillId="3" borderId="3" xfId="0" applyFont="1" applyFill="1" applyBorder="1"/>
    <xf numFmtId="0" fontId="110" fillId="0" borderId="0" xfId="0" applyFont="1"/>
    <xf numFmtId="0" fontId="8" fillId="0" borderId="0" xfId="0" applyFont="1"/>
    <xf numFmtId="0" fontId="41" fillId="3" borderId="0" xfId="0" applyFont="1" applyFill="1" applyAlignment="1">
      <alignment vertical="center"/>
    </xf>
    <xf numFmtId="0" fontId="41" fillId="4" borderId="21" xfId="0" applyFont="1" applyFill="1" applyBorder="1" applyAlignment="1">
      <alignment horizontal="center" vertical="top" wrapText="1"/>
    </xf>
    <xf numFmtId="166" fontId="41" fillId="4" borderId="21" xfId="0" applyNumberFormat="1" applyFont="1" applyFill="1" applyBorder="1" applyAlignment="1">
      <alignment horizontal="center" vertical="top" wrapText="1"/>
    </xf>
    <xf numFmtId="14" fontId="41" fillId="4" borderId="21" xfId="0" applyNumberFormat="1" applyFont="1" applyFill="1" applyBorder="1" applyAlignment="1">
      <alignment horizontal="center" vertical="top" wrapText="1"/>
    </xf>
    <xf numFmtId="14" fontId="41" fillId="5" borderId="21" xfId="0" applyNumberFormat="1" applyFont="1" applyFill="1" applyBorder="1" applyAlignment="1">
      <alignment horizontal="center" wrapText="1"/>
    </xf>
    <xf numFmtId="166" fontId="41" fillId="5" borderId="21" xfId="0" applyNumberFormat="1" applyFont="1" applyFill="1" applyBorder="1" applyAlignment="1">
      <alignment horizontal="center" wrapText="1"/>
    </xf>
    <xf numFmtId="0" fontId="41" fillId="5" borderId="21" xfId="0" applyFont="1" applyFill="1" applyBorder="1" applyAlignment="1">
      <alignment horizontal="center" wrapText="1"/>
    </xf>
    <xf numFmtId="0" fontId="112" fillId="0" borderId="0" xfId="0" applyFont="1"/>
    <xf numFmtId="22" fontId="51" fillId="0" borderId="0" xfId="0" applyNumberFormat="1" applyFont="1" applyAlignment="1">
      <alignment vertical="center"/>
    </xf>
    <xf numFmtId="2" fontId="51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0" fontId="41" fillId="4" borderId="23" xfId="0" applyFont="1" applyFill="1" applyBorder="1" applyAlignment="1">
      <alignment horizontal="center" vertical="top" wrapText="1"/>
    </xf>
    <xf numFmtId="14" fontId="41" fillId="4" borderId="23" xfId="0" applyNumberFormat="1" applyFont="1" applyFill="1" applyBorder="1" applyAlignment="1">
      <alignment horizontal="center" vertical="top" wrapText="1"/>
    </xf>
    <xf numFmtId="166" fontId="41" fillId="4" borderId="23" xfId="0" applyNumberFormat="1" applyFont="1" applyFill="1" applyBorder="1" applyAlignment="1">
      <alignment horizontal="center" vertical="top" wrapText="1"/>
    </xf>
    <xf numFmtId="0" fontId="41" fillId="4" borderId="22" xfId="0" applyFont="1" applyFill="1" applyBorder="1" applyAlignment="1">
      <alignment horizontal="center" vertical="top" wrapText="1"/>
    </xf>
    <xf numFmtId="14" fontId="41" fillId="4" borderId="22" xfId="0" applyNumberFormat="1" applyFont="1" applyFill="1" applyBorder="1" applyAlignment="1">
      <alignment horizontal="center" vertical="top" wrapText="1"/>
    </xf>
    <xf numFmtId="166" fontId="41" fillId="4" borderId="22" xfId="0" applyNumberFormat="1" applyFont="1" applyFill="1" applyBorder="1" applyAlignment="1">
      <alignment horizontal="center" vertical="top" wrapText="1"/>
    </xf>
    <xf numFmtId="0" fontId="40" fillId="4" borderId="21" xfId="0" applyFont="1" applyFill="1" applyBorder="1" applyAlignment="1">
      <alignment horizontal="left" vertical="top"/>
    </xf>
    <xf numFmtId="0" fontId="40" fillId="4" borderId="21" xfId="0" applyFont="1" applyFill="1" applyBorder="1" applyAlignment="1">
      <alignment horizontal="center" vertical="top" wrapText="1"/>
    </xf>
    <xf numFmtId="0" fontId="40" fillId="5" borderId="21" xfId="0" applyFont="1" applyFill="1" applyBorder="1" applyAlignment="1">
      <alignment vertical="center"/>
    </xf>
    <xf numFmtId="0" fontId="41" fillId="0" borderId="0" xfId="0" applyFont="1"/>
    <xf numFmtId="14" fontId="41" fillId="4" borderId="25" xfId="0" applyNumberFormat="1" applyFont="1" applyFill="1" applyBorder="1" applyAlignment="1">
      <alignment horizontal="center" vertical="top" wrapText="1"/>
    </xf>
    <xf numFmtId="166" fontId="41" fillId="4" borderId="25" xfId="0" applyNumberFormat="1" applyFont="1" applyFill="1" applyBorder="1" applyAlignment="1">
      <alignment horizontal="center" vertical="top" wrapText="1"/>
    </xf>
    <xf numFmtId="0" fontId="41" fillId="4" borderId="25" xfId="0" applyFont="1" applyFill="1" applyBorder="1" applyAlignment="1">
      <alignment horizontal="center" vertical="top" wrapText="1"/>
    </xf>
    <xf numFmtId="166" fontId="41" fillId="4" borderId="27" xfId="0" applyNumberFormat="1" applyFont="1" applyFill="1" applyBorder="1" applyAlignment="1">
      <alignment horizontal="center" vertical="top" wrapText="1"/>
    </xf>
    <xf numFmtId="0" fontId="41" fillId="4" borderId="27" xfId="0" applyFont="1" applyFill="1" applyBorder="1" applyAlignment="1">
      <alignment horizontal="center" vertical="top" wrapText="1"/>
    </xf>
    <xf numFmtId="14" fontId="41" fillId="4" borderId="27" xfId="0" applyNumberFormat="1" applyFont="1" applyFill="1" applyBorder="1" applyAlignment="1">
      <alignment horizontal="center" vertical="top" wrapText="1"/>
    </xf>
    <xf numFmtId="2" fontId="41" fillId="0" borderId="8" xfId="39" applyNumberFormat="1" applyFont="1" applyFill="1" applyBorder="1" applyAlignment="1">
      <alignment horizontal="center" vertical="center"/>
    </xf>
    <xf numFmtId="2" fontId="89" fillId="0" borderId="0" xfId="0" applyNumberFormat="1" applyFont="1" applyAlignment="1">
      <alignment vertical="center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2" fontId="75" fillId="0" borderId="0" xfId="0" applyNumberFormat="1" applyFont="1" applyAlignment="1">
      <alignment vertical="center"/>
    </xf>
    <xf numFmtId="14" fontId="40" fillId="0" borderId="0" xfId="0" applyNumberFormat="1" applyFont="1" applyAlignment="1">
      <alignment vertical="center"/>
    </xf>
    <xf numFmtId="2" fontId="51" fillId="0" borderId="0" xfId="0" applyNumberFormat="1" applyFont="1" applyAlignment="1">
      <alignment horizontal="left" vertical="center"/>
    </xf>
    <xf numFmtId="1" fontId="40" fillId="0" borderId="0" xfId="0" applyNumberFormat="1" applyFont="1" applyAlignment="1">
      <alignment vertical="center"/>
    </xf>
    <xf numFmtId="1" fontId="51" fillId="0" borderId="0" xfId="0" applyNumberFormat="1" applyFont="1"/>
    <xf numFmtId="1" fontId="41" fillId="0" borderId="0" xfId="0" applyNumberFormat="1" applyFont="1" applyAlignment="1">
      <alignment vertical="center"/>
    </xf>
    <xf numFmtId="2" fontId="40" fillId="0" borderId="0" xfId="0" applyNumberFormat="1" applyFont="1" applyAlignment="1">
      <alignment vertical="center"/>
    </xf>
    <xf numFmtId="1" fontId="40" fillId="0" borderId="0" xfId="0" applyNumberFormat="1" applyFont="1" applyAlignment="1">
      <alignment horizontal="left" vertical="center"/>
    </xf>
    <xf numFmtId="168" fontId="40" fillId="0" borderId="0" xfId="0" applyNumberFormat="1" applyFont="1" applyAlignment="1">
      <alignment vertical="center"/>
    </xf>
    <xf numFmtId="1" fontId="46" fillId="0" borderId="0" xfId="0" applyNumberFormat="1" applyFont="1" applyAlignment="1">
      <alignment vertical="center"/>
    </xf>
    <xf numFmtId="14" fontId="40" fillId="0" borderId="0" xfId="33" applyNumberFormat="1" applyFont="1" applyFill="1" applyAlignment="1">
      <alignment vertical="top"/>
    </xf>
    <xf numFmtId="2" fontId="40" fillId="0" borderId="0" xfId="0" applyNumberFormat="1" applyFont="1" applyAlignment="1">
      <alignment horizontal="left" vertical="center"/>
    </xf>
    <xf numFmtId="3" fontId="40" fillId="0" borderId="0" xfId="0" applyNumberFormat="1" applyFont="1" applyAlignment="1">
      <alignment vertical="center"/>
    </xf>
    <xf numFmtId="171" fontId="51" fillId="0" borderId="0" xfId="0" applyNumberFormat="1" applyFont="1"/>
    <xf numFmtId="1" fontId="41" fillId="0" borderId="0" xfId="0" applyNumberFormat="1" applyFont="1" applyAlignment="1">
      <alignment horizontal="left" vertical="center"/>
    </xf>
    <xf numFmtId="173" fontId="40" fillId="0" borderId="0" xfId="33" applyNumberFormat="1" applyFont="1" applyFill="1" applyAlignment="1">
      <alignment horizontal="left"/>
    </xf>
    <xf numFmtId="175" fontId="40" fillId="0" borderId="0" xfId="0" applyNumberFormat="1" applyFont="1"/>
    <xf numFmtId="1" fontId="40" fillId="0" borderId="0" xfId="0" applyNumberFormat="1" applyFont="1" applyAlignment="1">
      <alignment horizontal="right" vertical="center"/>
    </xf>
    <xf numFmtId="1" fontId="90" fillId="0" borderId="0" xfId="0" applyNumberFormat="1" applyFont="1" applyAlignment="1">
      <alignment horizontal="left" vertical="center"/>
    </xf>
    <xf numFmtId="174" fontId="40" fillId="0" borderId="0" xfId="0" applyNumberFormat="1" applyFont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166" fontId="40" fillId="0" borderId="0" xfId="0" applyNumberFormat="1" applyFont="1" applyAlignment="1">
      <alignment vertical="center"/>
    </xf>
    <xf numFmtId="171" fontId="40" fillId="0" borderId="0" xfId="0" applyNumberFormat="1" applyFont="1" applyAlignment="1">
      <alignment vertical="center"/>
    </xf>
    <xf numFmtId="166" fontId="41" fillId="4" borderId="32" xfId="0" applyNumberFormat="1" applyFont="1" applyFill="1" applyBorder="1" applyAlignment="1">
      <alignment horizontal="center" vertical="top" wrapText="1"/>
    </xf>
    <xf numFmtId="14" fontId="41" fillId="4" borderId="13" xfId="0" applyNumberFormat="1" applyFont="1" applyFill="1" applyBorder="1" applyAlignment="1">
      <alignment horizontal="center" vertical="top" wrapText="1"/>
    </xf>
    <xf numFmtId="166" fontId="41" fillId="4" borderId="13" xfId="0" applyNumberFormat="1" applyFont="1" applyFill="1" applyBorder="1" applyAlignment="1">
      <alignment horizontal="center" vertical="top" wrapText="1"/>
    </xf>
    <xf numFmtId="0" fontId="41" fillId="4" borderId="13" xfId="0" applyFont="1" applyFill="1" applyBorder="1" applyAlignment="1">
      <alignment horizontal="center" vertical="top" wrapText="1"/>
    </xf>
    <xf numFmtId="14" fontId="41" fillId="4" borderId="32" xfId="0" applyNumberFormat="1" applyFont="1" applyFill="1" applyBorder="1" applyAlignment="1">
      <alignment horizontal="center" vertical="top" wrapText="1"/>
    </xf>
    <xf numFmtId="0" fontId="41" fillId="4" borderId="32" xfId="0" applyFont="1" applyFill="1" applyBorder="1" applyAlignment="1">
      <alignment horizontal="center" vertical="top" wrapText="1"/>
    </xf>
    <xf numFmtId="0" fontId="40" fillId="6" borderId="21" xfId="0" applyFont="1" applyFill="1" applyBorder="1" applyAlignment="1">
      <alignment horizontal="center" vertical="top" wrapText="1"/>
    </xf>
    <xf numFmtId="1" fontId="40" fillId="4" borderId="21" xfId="0" applyNumberFormat="1" applyFont="1" applyFill="1" applyBorder="1" applyAlignment="1">
      <alignment horizontal="center" vertical="top" wrapText="1"/>
    </xf>
    <xf numFmtId="2" fontId="40" fillId="4" borderId="21" xfId="0" applyNumberFormat="1" applyFont="1" applyFill="1" applyBorder="1" applyAlignment="1">
      <alignment horizontal="center" vertical="top" wrapText="1"/>
    </xf>
    <xf numFmtId="49" fontId="40" fillId="0" borderId="4" xfId="2" applyNumberFormat="1" applyFont="1" applyBorder="1" applyAlignment="1">
      <alignment horizontal="center" vertical="center" wrapText="1"/>
    </xf>
    <xf numFmtId="2" fontId="46" fillId="0" borderId="5" xfId="0" applyNumberFormat="1" applyFont="1" applyBorder="1" applyAlignment="1">
      <alignment horizontal="center" vertical="top" wrapText="1"/>
    </xf>
    <xf numFmtId="14" fontId="116" fillId="0" borderId="6" xfId="0" applyNumberFormat="1" applyFont="1" applyBorder="1" applyAlignment="1">
      <alignment horizontal="center" vertical="center" wrapText="1"/>
    </xf>
    <xf numFmtId="1" fontId="40" fillId="5" borderId="21" xfId="0" applyNumberFormat="1" applyFont="1" applyFill="1" applyBorder="1" applyAlignment="1">
      <alignment horizontal="center" vertical="center" wrapText="1"/>
    </xf>
    <xf numFmtId="2" fontId="40" fillId="5" borderId="21" xfId="0" applyNumberFormat="1" applyFont="1" applyFill="1" applyBorder="1" applyAlignment="1">
      <alignment horizontal="center" vertical="center" wrapText="1"/>
    </xf>
    <xf numFmtId="2" fontId="46" fillId="0" borderId="5" xfId="0" applyNumberFormat="1" applyFont="1" applyBorder="1" applyAlignment="1">
      <alignment horizontal="center" vertical="center" wrapText="1"/>
    </xf>
    <xf numFmtId="2" fontId="114" fillId="0" borderId="0" xfId="0" applyNumberFormat="1" applyFont="1" applyAlignment="1">
      <alignment vertical="center"/>
    </xf>
    <xf numFmtId="166" fontId="41" fillId="4" borderId="34" xfId="0" applyNumberFormat="1" applyFont="1" applyFill="1" applyBorder="1" applyAlignment="1">
      <alignment horizontal="center" vertical="top" wrapText="1"/>
    </xf>
    <xf numFmtId="0" fontId="41" fillId="4" borderId="34" xfId="0" applyFont="1" applyFill="1" applyBorder="1" applyAlignment="1">
      <alignment horizontal="center" vertical="top" wrapText="1"/>
    </xf>
    <xf numFmtId="14" fontId="41" fillId="4" borderId="34" xfId="0" applyNumberFormat="1" applyFont="1" applyFill="1" applyBorder="1" applyAlignment="1">
      <alignment horizontal="center" vertical="top" wrapText="1"/>
    </xf>
    <xf numFmtId="49" fontId="40" fillId="0" borderId="35" xfId="2" applyNumberFormat="1" applyFont="1" applyBorder="1" applyAlignment="1">
      <alignment horizontal="center" vertical="center" wrapText="1"/>
    </xf>
    <xf numFmtId="165" fontId="40" fillId="0" borderId="37" xfId="0" applyNumberFormat="1" applyFont="1" applyBorder="1" applyAlignment="1">
      <alignment horizontal="center" vertical="top" wrapText="1"/>
    </xf>
    <xf numFmtId="0" fontId="41" fillId="0" borderId="37" xfId="0" applyFont="1" applyBorder="1" applyAlignment="1">
      <alignment horizontal="center" vertical="top" wrapText="1"/>
    </xf>
    <xf numFmtId="2" fontId="40" fillId="0" borderId="37" xfId="0" applyNumberFormat="1" applyFont="1" applyBorder="1" applyAlignment="1">
      <alignment horizontal="center" vertical="top" wrapText="1"/>
    </xf>
    <xf numFmtId="2" fontId="40" fillId="0" borderId="36" xfId="0" applyNumberFormat="1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top" wrapText="1"/>
    </xf>
    <xf numFmtId="2" fontId="40" fillId="0" borderId="3" xfId="0" applyNumberFormat="1" applyFont="1" applyBorder="1" applyAlignment="1">
      <alignment horizontal="center" vertical="top" wrapText="1"/>
    </xf>
    <xf numFmtId="2" fontId="46" fillId="0" borderId="7" xfId="0" applyNumberFormat="1" applyFont="1" applyBorder="1" applyAlignment="1">
      <alignment horizontal="center" vertical="top" wrapText="1"/>
    </xf>
    <xf numFmtId="0" fontId="89" fillId="0" borderId="0" xfId="0" applyFont="1" applyAlignment="1">
      <alignment vertical="top"/>
    </xf>
    <xf numFmtId="14" fontId="116" fillId="0" borderId="5" xfId="0" applyNumberFormat="1" applyFont="1" applyBorder="1" applyAlignment="1">
      <alignment horizontal="center" vertical="center" wrapText="1"/>
    </xf>
    <xf numFmtId="0" fontId="40" fillId="0" borderId="21" xfId="0" applyFont="1" applyBorder="1" applyAlignment="1">
      <alignment horizontal="left" vertical="top"/>
    </xf>
    <xf numFmtId="0" fontId="40" fillId="0" borderId="21" xfId="39" applyFont="1" applyBorder="1" applyAlignment="1">
      <alignment horizontal="left" vertical="top" wrapText="1"/>
    </xf>
    <xf numFmtId="2" fontId="40" fillId="0" borderId="21" xfId="0" applyNumberFormat="1" applyFont="1" applyBorder="1" applyAlignment="1">
      <alignment horizontal="center" vertical="top" wrapText="1"/>
    </xf>
    <xf numFmtId="2" fontId="40" fillId="0" borderId="8" xfId="0" applyNumberFormat="1" applyFont="1" applyBorder="1" applyAlignment="1">
      <alignment horizontal="center" vertical="center"/>
    </xf>
    <xf numFmtId="165" fontId="40" fillId="0" borderId="21" xfId="0" applyNumberFormat="1" applyFont="1" applyBorder="1" applyAlignment="1">
      <alignment horizontal="center" vertical="top" wrapText="1"/>
    </xf>
    <xf numFmtId="0" fontId="40" fillId="0" borderId="27" xfId="0" applyFont="1" applyBorder="1" applyAlignment="1">
      <alignment horizontal="left" vertical="top"/>
    </xf>
    <xf numFmtId="0" fontId="40" fillId="3" borderId="21" xfId="0" applyFont="1" applyFill="1" applyBorder="1" applyAlignment="1">
      <alignment horizontal="left" vertical="top"/>
    </xf>
    <xf numFmtId="0" fontId="40" fillId="3" borderId="21" xfId="39" applyFont="1" applyFill="1" applyBorder="1" applyAlignment="1">
      <alignment horizontal="left" vertical="top" wrapText="1"/>
    </xf>
    <xf numFmtId="0" fontId="40" fillId="3" borderId="21" xfId="0" applyFont="1" applyFill="1" applyBorder="1" applyAlignment="1">
      <alignment horizontal="center" vertical="top" wrapText="1"/>
    </xf>
    <xf numFmtId="1" fontId="40" fillId="3" borderId="21" xfId="0" applyNumberFormat="1" applyFont="1" applyFill="1" applyBorder="1" applyAlignment="1">
      <alignment horizontal="center" vertical="top" wrapText="1"/>
    </xf>
    <xf numFmtId="2" fontId="40" fillId="3" borderId="21" xfId="0" applyNumberFormat="1" applyFont="1" applyFill="1" applyBorder="1" applyAlignment="1">
      <alignment horizontal="center" vertical="top" wrapText="1"/>
    </xf>
    <xf numFmtId="1" fontId="40" fillId="0" borderId="21" xfId="0" applyNumberFormat="1" applyFont="1" applyBorder="1" applyAlignment="1">
      <alignment horizontal="center" vertical="top" wrapText="1"/>
    </xf>
    <xf numFmtId="0" fontId="40" fillId="0" borderId="20" xfId="0" applyFont="1" applyBorder="1" applyAlignment="1">
      <alignment horizontal="left" vertical="top"/>
    </xf>
    <xf numFmtId="0" fontId="40" fillId="0" borderId="20" xfId="0" applyFont="1" applyBorder="1" applyAlignment="1">
      <alignment horizontal="center" vertical="top" wrapText="1"/>
    </xf>
    <xf numFmtId="1" fontId="40" fillId="0" borderId="20" xfId="0" applyNumberFormat="1" applyFont="1" applyBorder="1" applyAlignment="1">
      <alignment horizontal="center" vertical="top" wrapText="1"/>
    </xf>
    <xf numFmtId="2" fontId="40" fillId="0" borderId="20" xfId="0" applyNumberFormat="1" applyFont="1" applyBorder="1" applyAlignment="1">
      <alignment horizontal="center" vertical="top" wrapText="1"/>
    </xf>
    <xf numFmtId="0" fontId="40" fillId="0" borderId="27" xfId="0" applyFont="1" applyBorder="1" applyAlignment="1">
      <alignment horizontal="center" vertical="top" wrapText="1"/>
    </xf>
    <xf numFmtId="1" fontId="40" fillId="0" borderId="27" xfId="0" applyNumberFormat="1" applyFont="1" applyBorder="1" applyAlignment="1">
      <alignment horizontal="center" vertical="top" wrapText="1"/>
    </xf>
    <xf numFmtId="2" fontId="40" fillId="0" borderId="27" xfId="0" applyNumberFormat="1" applyFont="1" applyBorder="1" applyAlignment="1">
      <alignment horizontal="center" vertical="top" wrapText="1"/>
    </xf>
    <xf numFmtId="0" fontId="40" fillId="0" borderId="24" xfId="0" applyFont="1" applyBorder="1" applyAlignment="1">
      <alignment horizontal="center" vertical="top" wrapText="1"/>
    </xf>
    <xf numFmtId="1" fontId="40" fillId="0" borderId="24" xfId="0" applyNumberFormat="1" applyFont="1" applyBorder="1" applyAlignment="1">
      <alignment horizontal="center" vertical="top" wrapText="1"/>
    </xf>
    <xf numFmtId="2" fontId="40" fillId="0" borderId="24" xfId="0" applyNumberFormat="1" applyFont="1" applyBorder="1" applyAlignment="1">
      <alignment horizontal="center" vertical="top" wrapText="1"/>
    </xf>
    <xf numFmtId="3" fontId="89" fillId="0" borderId="0" xfId="0" applyNumberFormat="1" applyFont="1" applyAlignment="1">
      <alignment vertical="top"/>
    </xf>
    <xf numFmtId="2" fontId="116" fillId="0" borderId="6" xfId="0" applyNumberFormat="1" applyFont="1" applyBorder="1" applyAlignment="1">
      <alignment horizontal="center" vertical="center" wrapText="1"/>
    </xf>
    <xf numFmtId="49" fontId="41" fillId="0" borderId="0" xfId="0" applyNumberFormat="1" applyFont="1" applyAlignment="1">
      <alignment horizontal="center" vertical="center"/>
    </xf>
    <xf numFmtId="0" fontId="41" fillId="0" borderId="0" xfId="39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 vertical="center"/>
    </xf>
    <xf numFmtId="2" fontId="41" fillId="0" borderId="0" xfId="39" applyNumberFormat="1" applyFont="1" applyFill="1" applyBorder="1" applyAlignment="1">
      <alignment horizontal="center" vertical="center"/>
    </xf>
    <xf numFmtId="0" fontId="41" fillId="0" borderId="27" xfId="2" applyFont="1" applyBorder="1" applyAlignment="1">
      <alignment horizontal="center" vertical="center"/>
    </xf>
    <xf numFmtId="0" fontId="41" fillId="0" borderId="3" xfId="39" applyFont="1" applyFill="1" applyBorder="1" applyAlignment="1">
      <alignment horizontal="center" vertical="center" wrapText="1"/>
    </xf>
    <xf numFmtId="49" fontId="41" fillId="0" borderId="30" xfId="0" applyNumberFormat="1" applyFont="1" applyBorder="1" applyAlignment="1">
      <alignment horizontal="center" vertical="center"/>
    </xf>
    <xf numFmtId="49" fontId="41" fillId="0" borderId="19" xfId="2" applyNumberFormat="1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0" fontId="41" fillId="0" borderId="34" xfId="39" applyFont="1" applyFill="1" applyBorder="1" applyAlignment="1">
      <alignment horizontal="center" vertical="center" wrapText="1"/>
    </xf>
    <xf numFmtId="0" fontId="41" fillId="0" borderId="34" xfId="2" applyFont="1" applyBorder="1" applyAlignment="1">
      <alignment horizontal="center" vertical="center"/>
    </xf>
    <xf numFmtId="2" fontId="41" fillId="0" borderId="34" xfId="39" applyNumberFormat="1" applyFont="1" applyFill="1" applyBorder="1" applyAlignment="1">
      <alignment horizontal="center" vertical="center"/>
    </xf>
    <xf numFmtId="0" fontId="41" fillId="0" borderId="33" xfId="2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/>
    </xf>
    <xf numFmtId="49" fontId="41" fillId="0" borderId="38" xfId="2" applyNumberFormat="1" applyFont="1" applyBorder="1" applyAlignment="1">
      <alignment horizontal="center" vertical="center" wrapText="1"/>
    </xf>
    <xf numFmtId="0" fontId="41" fillId="0" borderId="39" xfId="39" applyFont="1" applyFill="1" applyBorder="1" applyAlignment="1">
      <alignment horizontal="center" vertical="center" wrapText="1"/>
    </xf>
    <xf numFmtId="2" fontId="41" fillId="0" borderId="33" xfId="39" applyNumberFormat="1" applyFont="1" applyFill="1" applyBorder="1" applyAlignment="1">
      <alignment horizontal="center" vertical="center"/>
    </xf>
    <xf numFmtId="0" fontId="41" fillId="0" borderId="40" xfId="2" applyFont="1" applyBorder="1" applyAlignment="1">
      <alignment horizontal="center" vertical="center"/>
    </xf>
    <xf numFmtId="2" fontId="41" fillId="0" borderId="40" xfId="39" applyNumberFormat="1" applyFont="1" applyFill="1" applyBorder="1" applyAlignment="1">
      <alignment horizontal="center" vertical="center"/>
    </xf>
    <xf numFmtId="49" fontId="41" fillId="0" borderId="34" xfId="2" applyNumberFormat="1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top" wrapText="1"/>
    </xf>
    <xf numFmtId="2" fontId="41" fillId="0" borderId="21" xfId="0" applyNumberFormat="1" applyFont="1" applyBorder="1" applyAlignment="1">
      <alignment horizontal="center" vertical="top" wrapText="1"/>
    </xf>
    <xf numFmtId="165" fontId="41" fillId="0" borderId="21" xfId="0" applyNumberFormat="1" applyFont="1" applyBorder="1" applyAlignment="1">
      <alignment horizontal="center" vertical="top" wrapText="1"/>
    </xf>
    <xf numFmtId="0" fontId="40" fillId="0" borderId="21" xfId="0" applyFont="1" applyBorder="1" applyAlignment="1">
      <alignment horizontal="left" vertical="center"/>
    </xf>
    <xf numFmtId="0" fontId="40" fillId="0" borderId="21" xfId="39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top" wrapText="1"/>
    </xf>
    <xf numFmtId="0" fontId="40" fillId="4" borderId="21" xfId="0" applyFont="1" applyFill="1" applyBorder="1" applyAlignment="1">
      <alignment horizontal="left" vertical="top" wrapText="1"/>
    </xf>
    <xf numFmtId="14" fontId="116" fillId="0" borderId="26" xfId="0" applyNumberFormat="1" applyFont="1" applyBorder="1" applyAlignment="1">
      <alignment horizontal="center" vertical="center" wrapText="1"/>
    </xf>
    <xf numFmtId="2" fontId="46" fillId="0" borderId="26" xfId="0" applyNumberFormat="1" applyFont="1" applyBorder="1" applyAlignment="1">
      <alignment horizontal="center" vertical="top" wrapText="1"/>
    </xf>
    <xf numFmtId="0" fontId="40" fillId="0" borderId="37" xfId="0" applyFont="1" applyBorder="1" applyAlignment="1">
      <alignment horizontal="center" vertical="top" wrapText="1"/>
    </xf>
    <xf numFmtId="0" fontId="40" fillId="0" borderId="22" xfId="0" applyFont="1" applyBorder="1" applyAlignment="1">
      <alignment horizontal="left" vertical="top"/>
    </xf>
    <xf numFmtId="0" fontId="40" fillId="0" borderId="22" xfId="0" applyFont="1" applyBorder="1" applyAlignment="1">
      <alignment horizontal="center" vertical="top" wrapText="1"/>
    </xf>
    <xf numFmtId="1" fontId="40" fillId="0" borderId="22" xfId="0" applyNumberFormat="1" applyFont="1" applyBorder="1" applyAlignment="1">
      <alignment horizontal="center" vertical="top" wrapText="1"/>
    </xf>
    <xf numFmtId="2" fontId="40" fillId="0" borderId="22" xfId="0" applyNumberFormat="1" applyFont="1" applyBorder="1" applyAlignment="1">
      <alignment horizontal="center" vertical="top" wrapText="1"/>
    </xf>
    <xf numFmtId="0" fontId="40" fillId="4" borderId="13" xfId="0" applyFont="1" applyFill="1" applyBorder="1" applyAlignment="1">
      <alignment horizontal="left" vertical="top"/>
    </xf>
    <xf numFmtId="0" fontId="40" fillId="4" borderId="13" xfId="0" applyFont="1" applyFill="1" applyBorder="1" applyAlignment="1">
      <alignment horizontal="center" vertical="top" wrapText="1"/>
    </xf>
    <xf numFmtId="0" fontId="40" fillId="6" borderId="13" xfId="0" applyFont="1" applyFill="1" applyBorder="1" applyAlignment="1">
      <alignment horizontal="center" vertical="top" wrapText="1"/>
    </xf>
    <xf numFmtId="1" fontId="40" fillId="4" borderId="13" xfId="0" applyNumberFormat="1" applyFont="1" applyFill="1" applyBorder="1" applyAlignment="1">
      <alignment horizontal="center" vertical="top" wrapText="1"/>
    </xf>
    <xf numFmtId="2" fontId="40" fillId="4" borderId="13" xfId="0" applyNumberFormat="1" applyFont="1" applyFill="1" applyBorder="1" applyAlignment="1">
      <alignment horizontal="center" vertical="top" wrapText="1"/>
    </xf>
    <xf numFmtId="0" fontId="40" fillId="0" borderId="32" xfId="0" applyFont="1" applyBorder="1" applyAlignment="1">
      <alignment horizontal="left" vertical="top"/>
    </xf>
    <xf numFmtId="0" fontId="40" fillId="0" borderId="32" xfId="39" applyFont="1" applyBorder="1" applyAlignment="1">
      <alignment horizontal="left" vertical="top" wrapText="1"/>
    </xf>
    <xf numFmtId="0" fontId="40" fillId="0" borderId="32" xfId="0" applyFont="1" applyBorder="1" applyAlignment="1">
      <alignment horizontal="center" vertical="top" wrapText="1"/>
    </xf>
    <xf numFmtId="1" fontId="40" fillId="0" borderId="32" xfId="0" applyNumberFormat="1" applyFont="1" applyBorder="1" applyAlignment="1">
      <alignment horizontal="center" vertical="top" wrapText="1"/>
    </xf>
    <xf numFmtId="2" fontId="40" fillId="0" borderId="32" xfId="0" applyNumberFormat="1" applyFont="1" applyBorder="1" applyAlignment="1">
      <alignment horizontal="center" vertical="top" wrapText="1"/>
    </xf>
    <xf numFmtId="0" fontId="40" fillId="0" borderId="23" xfId="0" applyFont="1" applyBorder="1" applyAlignment="1">
      <alignment horizontal="left" vertical="top"/>
    </xf>
    <xf numFmtId="0" fontId="40" fillId="0" borderId="23" xfId="0" applyFont="1" applyBorder="1" applyAlignment="1">
      <alignment horizontal="left" vertical="top" wrapText="1"/>
    </xf>
    <xf numFmtId="2" fontId="40" fillId="0" borderId="23" xfId="0" applyNumberFormat="1" applyFont="1" applyBorder="1" applyAlignment="1">
      <alignment horizontal="center" vertical="top" wrapText="1"/>
    </xf>
    <xf numFmtId="14" fontId="40" fillId="4" borderId="21" xfId="0" applyNumberFormat="1" applyFont="1" applyFill="1" applyBorder="1" applyAlignment="1">
      <alignment horizontal="center" vertical="top" wrapText="1"/>
    </xf>
    <xf numFmtId="166" fontId="40" fillId="4" borderId="21" xfId="0" applyNumberFormat="1" applyFont="1" applyFill="1" applyBorder="1" applyAlignment="1">
      <alignment horizontal="center" vertical="top" wrapText="1"/>
    </xf>
    <xf numFmtId="0" fontId="40" fillId="0" borderId="34" xfId="0" applyFont="1" applyBorder="1" applyAlignment="1">
      <alignment horizontal="left" vertical="top"/>
    </xf>
    <xf numFmtId="0" fontId="40" fillId="0" borderId="34" xfId="39" applyFont="1" applyBorder="1" applyAlignment="1">
      <alignment horizontal="left" vertical="top" wrapText="1"/>
    </xf>
    <xf numFmtId="0" fontId="40" fillId="0" borderId="34" xfId="0" applyFont="1" applyBorder="1" applyAlignment="1">
      <alignment horizontal="center" vertical="top" wrapText="1"/>
    </xf>
    <xf numFmtId="1" fontId="40" fillId="0" borderId="34" xfId="0" applyNumberFormat="1" applyFont="1" applyBorder="1" applyAlignment="1">
      <alignment horizontal="center" vertical="top" wrapText="1"/>
    </xf>
    <xf numFmtId="2" fontId="40" fillId="0" borderId="34" xfId="0" applyNumberFormat="1" applyFont="1" applyBorder="1" applyAlignment="1">
      <alignment horizontal="center" vertical="top" wrapText="1"/>
    </xf>
    <xf numFmtId="0" fontId="40" fillId="0" borderId="41" xfId="0" applyFont="1" applyBorder="1" applyAlignment="1">
      <alignment horizontal="left" vertical="top"/>
    </xf>
    <xf numFmtId="0" fontId="40" fillId="0" borderId="41" xfId="0" applyFont="1" applyBorder="1" applyAlignment="1">
      <alignment horizontal="center" vertical="top" wrapText="1"/>
    </xf>
    <xf numFmtId="1" fontId="40" fillId="0" borderId="41" xfId="0" applyNumberFormat="1" applyFont="1" applyBorder="1" applyAlignment="1">
      <alignment horizontal="center" vertical="top" wrapText="1"/>
    </xf>
    <xf numFmtId="2" fontId="40" fillId="0" borderId="41" xfId="0" applyNumberFormat="1" applyFont="1" applyBorder="1" applyAlignment="1">
      <alignment horizontal="center" vertical="top" wrapText="1"/>
    </xf>
    <xf numFmtId="0" fontId="40" fillId="0" borderId="23" xfId="39" applyFont="1" applyBorder="1" applyAlignment="1">
      <alignment horizontal="left" vertical="top" wrapText="1"/>
    </xf>
    <xf numFmtId="0" fontId="40" fillId="0" borderId="23" xfId="0" applyFont="1" applyBorder="1" applyAlignment="1">
      <alignment horizontal="center" vertical="top" wrapText="1"/>
    </xf>
    <xf numFmtId="1" fontId="40" fillId="0" borderId="23" xfId="0" applyNumberFormat="1" applyFont="1" applyBorder="1" applyAlignment="1">
      <alignment horizontal="center" vertical="top" wrapText="1"/>
    </xf>
    <xf numFmtId="0" fontId="40" fillId="4" borderId="22" xfId="0" applyFont="1" applyFill="1" applyBorder="1" applyAlignment="1">
      <alignment horizontal="left" vertical="top"/>
    </xf>
    <xf numFmtId="0" fontId="40" fillId="4" borderId="22" xfId="0" applyFont="1" applyFill="1" applyBorder="1" applyAlignment="1">
      <alignment horizontal="center" vertical="top" wrapText="1"/>
    </xf>
    <xf numFmtId="0" fontId="40" fillId="6" borderId="22" xfId="0" applyFont="1" applyFill="1" applyBorder="1" applyAlignment="1">
      <alignment horizontal="center" vertical="top" wrapText="1"/>
    </xf>
    <xf numFmtId="2" fontId="40" fillId="4" borderId="22" xfId="0" applyNumberFormat="1" applyFont="1" applyFill="1" applyBorder="1" applyAlignment="1">
      <alignment horizontal="center" vertical="top" wrapText="1"/>
    </xf>
    <xf numFmtId="0" fontId="40" fillId="0" borderId="27" xfId="39" applyFont="1" applyBorder="1" applyAlignment="1">
      <alignment horizontal="left" vertical="top" wrapText="1"/>
    </xf>
    <xf numFmtId="0" fontId="40" fillId="4" borderId="25" xfId="0" applyFont="1" applyFill="1" applyBorder="1" applyAlignment="1">
      <alignment horizontal="left" vertical="top"/>
    </xf>
    <xf numFmtId="0" fontId="40" fillId="4" borderId="25" xfId="0" applyFont="1" applyFill="1" applyBorder="1" applyAlignment="1">
      <alignment horizontal="center" vertical="top" wrapText="1"/>
    </xf>
    <xf numFmtId="0" fontId="40" fillId="6" borderId="25" xfId="0" applyFont="1" applyFill="1" applyBorder="1" applyAlignment="1">
      <alignment horizontal="center" vertical="top" wrapText="1"/>
    </xf>
    <xf numFmtId="2" fontId="40" fillId="4" borderId="25" xfId="0" applyNumberFormat="1" applyFont="1" applyFill="1" applyBorder="1" applyAlignment="1">
      <alignment horizontal="center" vertical="top" wrapText="1"/>
    </xf>
    <xf numFmtId="0" fontId="40" fillId="0" borderId="21" xfId="39" applyFont="1" applyFill="1" applyBorder="1" applyAlignment="1">
      <alignment horizontal="left" vertical="top" wrapText="1"/>
    </xf>
    <xf numFmtId="0" fontId="40" fillId="0" borderId="22" xfId="0" applyFont="1" applyBorder="1" applyAlignment="1">
      <alignment horizontal="left" vertical="center"/>
    </xf>
    <xf numFmtId="0" fontId="40" fillId="0" borderId="22" xfId="0" applyFont="1" applyBorder="1" applyAlignment="1">
      <alignment horizontal="left" vertical="top" wrapText="1"/>
    </xf>
    <xf numFmtId="0" fontId="40" fillId="0" borderId="42" xfId="0" applyFont="1" applyBorder="1" applyAlignment="1">
      <alignment horizontal="left" vertical="center"/>
    </xf>
    <xf numFmtId="0" fontId="40" fillId="0" borderId="42" xfId="0" applyFont="1" applyBorder="1" applyAlignment="1">
      <alignment horizontal="left" vertical="top" wrapText="1"/>
    </xf>
    <xf numFmtId="0" fontId="40" fillId="0" borderId="42" xfId="0" applyFont="1" applyBorder="1" applyAlignment="1">
      <alignment horizontal="center" vertical="top" wrapText="1"/>
    </xf>
    <xf numFmtId="2" fontId="40" fillId="0" borderId="42" xfId="0" applyNumberFormat="1" applyFont="1" applyBorder="1" applyAlignment="1">
      <alignment horizontal="center" vertical="top" wrapText="1"/>
    </xf>
    <xf numFmtId="0" fontId="40" fillId="0" borderId="27" xfId="0" applyFont="1" applyBorder="1" applyAlignment="1">
      <alignment horizontal="left" vertical="top" wrapText="1"/>
    </xf>
    <xf numFmtId="0" fontId="40" fillId="3" borderId="27" xfId="0" applyFont="1" applyFill="1" applyBorder="1" applyAlignment="1">
      <alignment horizontal="left" vertical="top"/>
    </xf>
    <xf numFmtId="0" fontId="40" fillId="3" borderId="27" xfId="0" applyFont="1" applyFill="1" applyBorder="1" applyAlignment="1">
      <alignment horizontal="center" vertical="top" wrapText="1"/>
    </xf>
    <xf numFmtId="1" fontId="40" fillId="3" borderId="27" xfId="0" applyNumberFormat="1" applyFont="1" applyFill="1" applyBorder="1" applyAlignment="1">
      <alignment horizontal="center" vertical="top" wrapText="1"/>
    </xf>
    <xf numFmtId="2" fontId="40" fillId="3" borderId="27" xfId="0" applyNumberFormat="1" applyFont="1" applyFill="1" applyBorder="1" applyAlignment="1">
      <alignment horizontal="center" vertical="top" wrapText="1"/>
    </xf>
    <xf numFmtId="0" fontId="40" fillId="0" borderId="42" xfId="0" applyFont="1" applyBorder="1" applyAlignment="1">
      <alignment horizontal="left" vertical="top"/>
    </xf>
    <xf numFmtId="1" fontId="40" fillId="0" borderId="42" xfId="0" applyNumberFormat="1" applyFont="1" applyBorder="1" applyAlignment="1">
      <alignment horizontal="center" vertical="top" wrapText="1"/>
    </xf>
    <xf numFmtId="0" fontId="97" fillId="4" borderId="21" xfId="0" applyFont="1" applyFill="1" applyBorder="1" applyAlignment="1">
      <alignment horizontal="center" vertical="top" wrapText="1"/>
    </xf>
    <xf numFmtId="0" fontId="40" fillId="0" borderId="28" xfId="0" applyFont="1" applyBorder="1" applyAlignment="1">
      <alignment horizontal="left" vertical="top"/>
    </xf>
    <xf numFmtId="0" fontId="40" fillId="0" borderId="28" xfId="0" applyFont="1" applyBorder="1" applyAlignment="1">
      <alignment horizontal="center" vertical="top" wrapText="1"/>
    </xf>
    <xf numFmtId="1" fontId="40" fillId="0" borderId="28" xfId="0" applyNumberFormat="1" applyFont="1" applyBorder="1" applyAlignment="1">
      <alignment horizontal="center" vertical="top" wrapText="1"/>
    </xf>
    <xf numFmtId="2" fontId="40" fillId="0" borderId="28" xfId="0" applyNumberFormat="1" applyFont="1" applyBorder="1" applyAlignment="1">
      <alignment horizontal="center" vertical="top" wrapText="1"/>
    </xf>
    <xf numFmtId="0" fontId="40" fillId="4" borderId="23" xfId="0" applyFont="1" applyFill="1" applyBorder="1" applyAlignment="1">
      <alignment horizontal="left" vertical="top"/>
    </xf>
    <xf numFmtId="0" fontId="40" fillId="4" borderId="23" xfId="0" applyFont="1" applyFill="1" applyBorder="1" applyAlignment="1">
      <alignment horizontal="center" vertical="top" wrapText="1"/>
    </xf>
    <xf numFmtId="0" fontId="40" fillId="6" borderId="23" xfId="0" applyFont="1" applyFill="1" applyBorder="1" applyAlignment="1">
      <alignment horizontal="center" vertical="top" wrapText="1"/>
    </xf>
    <xf numFmtId="2" fontId="40" fillId="4" borderId="23" xfId="0" applyNumberFormat="1" applyFont="1" applyFill="1" applyBorder="1" applyAlignment="1">
      <alignment horizontal="center" vertical="top" wrapText="1"/>
    </xf>
    <xf numFmtId="0" fontId="40" fillId="0" borderId="22" xfId="39" applyFont="1" applyBorder="1" applyAlignment="1">
      <alignment horizontal="left" vertical="top" wrapText="1"/>
    </xf>
    <xf numFmtId="0" fontId="40" fillId="4" borderId="27" xfId="0" applyFont="1" applyFill="1" applyBorder="1" applyAlignment="1">
      <alignment horizontal="left" vertical="top"/>
    </xf>
    <xf numFmtId="0" fontId="40" fillId="4" borderId="27" xfId="0" applyFont="1" applyFill="1" applyBorder="1" applyAlignment="1">
      <alignment horizontal="center" vertical="top" wrapText="1"/>
    </xf>
    <xf numFmtId="0" fontId="40" fillId="6" borderId="27" xfId="0" applyFont="1" applyFill="1" applyBorder="1" applyAlignment="1">
      <alignment horizontal="center" vertical="top" wrapText="1"/>
    </xf>
    <xf numFmtId="2" fontId="40" fillId="4" borderId="27" xfId="0" applyNumberFormat="1" applyFont="1" applyFill="1" applyBorder="1" applyAlignment="1">
      <alignment horizontal="center" vertical="top" wrapText="1"/>
    </xf>
    <xf numFmtId="0" fontId="40" fillId="4" borderId="34" xfId="0" applyFont="1" applyFill="1" applyBorder="1" applyAlignment="1">
      <alignment horizontal="left" vertical="top"/>
    </xf>
    <xf numFmtId="0" fontId="40" fillId="4" borderId="34" xfId="0" applyFont="1" applyFill="1" applyBorder="1" applyAlignment="1">
      <alignment horizontal="center" vertical="top" wrapText="1"/>
    </xf>
    <xf numFmtId="0" fontId="40" fillId="6" borderId="34" xfId="0" applyFont="1" applyFill="1" applyBorder="1" applyAlignment="1">
      <alignment horizontal="center" vertical="top" wrapText="1"/>
    </xf>
    <xf numFmtId="1" fontId="40" fillId="4" borderId="34" xfId="0" applyNumberFormat="1" applyFont="1" applyFill="1" applyBorder="1" applyAlignment="1">
      <alignment horizontal="center" vertical="top" wrapText="1"/>
    </xf>
    <xf numFmtId="2" fontId="40" fillId="4" borderId="34" xfId="0" applyNumberFormat="1" applyFont="1" applyFill="1" applyBorder="1" applyAlignment="1">
      <alignment horizontal="center" vertical="top" wrapText="1"/>
    </xf>
    <xf numFmtId="0" fontId="40" fillId="0" borderId="33" xfId="0" applyFont="1" applyBorder="1" applyAlignment="1">
      <alignment horizontal="left" vertical="top"/>
    </xf>
    <xf numFmtId="0" fontId="40" fillId="0" borderId="33" xfId="39" applyFont="1" applyBorder="1" applyAlignment="1">
      <alignment horizontal="left" vertical="top" wrapText="1"/>
    </xf>
    <xf numFmtId="0" fontId="40" fillId="4" borderId="32" xfId="0" applyFont="1" applyFill="1" applyBorder="1" applyAlignment="1">
      <alignment horizontal="left" vertical="top"/>
    </xf>
    <xf numFmtId="0" fontId="40" fillId="4" borderId="32" xfId="0" applyFont="1" applyFill="1" applyBorder="1" applyAlignment="1">
      <alignment horizontal="center" vertical="top" wrapText="1"/>
    </xf>
    <xf numFmtId="0" fontId="40" fillId="6" borderId="32" xfId="0" applyFont="1" applyFill="1" applyBorder="1" applyAlignment="1">
      <alignment horizontal="center" vertical="top" wrapText="1"/>
    </xf>
    <xf numFmtId="1" fontId="40" fillId="4" borderId="32" xfId="0" applyNumberFormat="1" applyFont="1" applyFill="1" applyBorder="1" applyAlignment="1">
      <alignment horizontal="center" vertical="top" wrapText="1"/>
    </xf>
    <xf numFmtId="2" fontId="40" fillId="4" borderId="32" xfId="0" applyNumberFormat="1" applyFont="1" applyFill="1" applyBorder="1" applyAlignment="1">
      <alignment horizontal="center" vertical="top" wrapText="1"/>
    </xf>
    <xf numFmtId="0" fontId="40" fillId="0" borderId="33" xfId="0" applyFont="1" applyBorder="1" applyAlignment="1">
      <alignment horizontal="center" vertical="top" wrapText="1"/>
    </xf>
    <xf numFmtId="1" fontId="40" fillId="0" borderId="33" xfId="0" applyNumberFormat="1" applyFont="1" applyBorder="1" applyAlignment="1">
      <alignment horizontal="center" vertical="top" wrapText="1"/>
    </xf>
    <xf numFmtId="2" fontId="40" fillId="0" borderId="33" xfId="0" applyNumberFormat="1" applyFont="1" applyBorder="1" applyAlignment="1">
      <alignment horizontal="center" vertical="top" wrapText="1"/>
    </xf>
    <xf numFmtId="0" fontId="40" fillId="3" borderId="43" xfId="0" applyFont="1" applyFill="1" applyBorder="1" applyAlignment="1">
      <alignment horizontal="left" vertical="top"/>
    </xf>
    <xf numFmtId="0" fontId="40" fillId="3" borderId="43" xfId="0" applyFont="1" applyFill="1" applyBorder="1" applyAlignment="1">
      <alignment horizontal="center" vertical="top" wrapText="1"/>
    </xf>
    <xf numFmtId="1" fontId="40" fillId="3" borderId="43" xfId="0" applyNumberFormat="1" applyFont="1" applyFill="1" applyBorder="1" applyAlignment="1">
      <alignment horizontal="center" vertical="top" wrapText="1"/>
    </xf>
    <xf numFmtId="2" fontId="40" fillId="3" borderId="43" xfId="0" applyNumberFormat="1" applyFont="1" applyFill="1" applyBorder="1" applyAlignment="1">
      <alignment horizontal="center" vertical="top" wrapText="1"/>
    </xf>
    <xf numFmtId="0" fontId="40" fillId="0" borderId="44" xfId="0" applyFont="1" applyBorder="1" applyAlignment="1">
      <alignment horizontal="left" vertical="top"/>
    </xf>
    <xf numFmtId="0" fontId="40" fillId="0" borderId="44" xfId="0" applyFont="1" applyBorder="1" applyAlignment="1">
      <alignment horizontal="center" vertical="top" wrapText="1"/>
    </xf>
    <xf numFmtId="1" fontId="40" fillId="0" borderId="44" xfId="0" applyNumberFormat="1" applyFont="1" applyBorder="1" applyAlignment="1">
      <alignment horizontal="center" vertical="top" wrapText="1"/>
    </xf>
    <xf numFmtId="2" fontId="40" fillId="0" borderId="44" xfId="0" applyNumberFormat="1" applyFont="1" applyBorder="1" applyAlignment="1">
      <alignment horizontal="center" vertical="top" wrapText="1"/>
    </xf>
    <xf numFmtId="0" fontId="40" fillId="0" borderId="45" xfId="0" applyFont="1" applyBorder="1" applyAlignment="1">
      <alignment horizontal="center" vertical="top" wrapText="1"/>
    </xf>
    <xf numFmtId="2" fontId="40" fillId="0" borderId="45" xfId="0" applyNumberFormat="1" applyFont="1" applyBorder="1" applyAlignment="1">
      <alignment horizontal="center" vertical="top" wrapText="1"/>
    </xf>
    <xf numFmtId="0" fontId="40" fillId="0" borderId="45" xfId="0" applyFont="1" applyBorder="1" applyAlignment="1">
      <alignment horizontal="left" vertical="top"/>
    </xf>
    <xf numFmtId="1" fontId="40" fillId="0" borderId="45" xfId="0" applyNumberFormat="1" applyFont="1" applyBorder="1" applyAlignment="1">
      <alignment horizontal="center" vertical="top" wrapText="1"/>
    </xf>
    <xf numFmtId="0" fontId="40" fillId="0" borderId="25" xfId="0" applyFont="1" applyBorder="1" applyAlignment="1">
      <alignment horizontal="left" vertical="top"/>
    </xf>
    <xf numFmtId="0" fontId="40" fillId="0" borderId="25" xfId="39" applyFont="1" applyBorder="1" applyAlignment="1">
      <alignment horizontal="left" vertical="top" wrapText="1"/>
    </xf>
    <xf numFmtId="0" fontId="40" fillId="0" borderId="25" xfId="0" applyFont="1" applyBorder="1" applyAlignment="1">
      <alignment horizontal="center" vertical="top" wrapText="1"/>
    </xf>
    <xf numFmtId="1" fontId="40" fillId="0" borderId="25" xfId="0" applyNumberFormat="1" applyFont="1" applyBorder="1" applyAlignment="1">
      <alignment horizontal="center" vertical="top" wrapText="1"/>
    </xf>
    <xf numFmtId="2" fontId="40" fillId="0" borderId="25" xfId="0" applyNumberFormat="1" applyFont="1" applyBorder="1" applyAlignment="1">
      <alignment horizontal="center" vertical="top" wrapText="1"/>
    </xf>
    <xf numFmtId="0" fontId="40" fillId="0" borderId="46" xfId="0" applyFont="1" applyBorder="1" applyAlignment="1">
      <alignment horizontal="left" vertical="top"/>
    </xf>
    <xf numFmtId="0" fontId="40" fillId="0" borderId="46" xfId="0" applyFont="1" applyBorder="1" applyAlignment="1">
      <alignment horizontal="left" vertical="top" wrapText="1"/>
    </xf>
    <xf numFmtId="2" fontId="40" fillId="0" borderId="46" xfId="0" applyNumberFormat="1" applyFont="1" applyBorder="1" applyAlignment="1">
      <alignment horizontal="center" vertical="top" wrapText="1"/>
    </xf>
    <xf numFmtId="0" fontId="40" fillId="0" borderId="47" xfId="0" applyFont="1" applyBorder="1" applyAlignment="1">
      <alignment horizontal="center" vertical="top" wrapText="1"/>
    </xf>
    <xf numFmtId="2" fontId="40" fillId="0" borderId="47" xfId="0" applyNumberFormat="1" applyFont="1" applyBorder="1" applyAlignment="1">
      <alignment horizontal="center" vertical="top" wrapText="1"/>
    </xf>
    <xf numFmtId="0" fontId="40" fillId="0" borderId="47" xfId="0" applyFont="1" applyBorder="1" applyAlignment="1">
      <alignment horizontal="left" vertical="top"/>
    </xf>
    <xf numFmtId="0" fontId="40" fillId="0" borderId="47" xfId="0" applyFont="1" applyBorder="1" applyAlignment="1">
      <alignment horizontal="left" vertical="top" wrapText="1"/>
    </xf>
    <xf numFmtId="1" fontId="40" fillId="0" borderId="47" xfId="0" applyNumberFormat="1" applyFont="1" applyBorder="1" applyAlignment="1">
      <alignment horizontal="center" vertical="top" wrapText="1"/>
    </xf>
    <xf numFmtId="0" fontId="40" fillId="0" borderId="48" xfId="0" applyFont="1" applyBorder="1" applyAlignment="1">
      <alignment horizontal="left" vertical="top"/>
    </xf>
    <xf numFmtId="0" fontId="40" fillId="0" borderId="48" xfId="0" applyFont="1" applyBorder="1" applyAlignment="1">
      <alignment horizontal="left" vertical="top" wrapText="1"/>
    </xf>
    <xf numFmtId="2" fontId="40" fillId="0" borderId="48" xfId="0" applyNumberFormat="1" applyFont="1" applyBorder="1" applyAlignment="1">
      <alignment horizontal="center" vertical="top" wrapText="1"/>
    </xf>
    <xf numFmtId="0" fontId="40" fillId="0" borderId="49" xfId="0" applyFont="1" applyBorder="1" applyAlignment="1">
      <alignment horizontal="center" vertical="top" wrapText="1"/>
    </xf>
    <xf numFmtId="2" fontId="40" fillId="0" borderId="49" xfId="0" applyNumberFormat="1" applyFont="1" applyBorder="1" applyAlignment="1">
      <alignment horizontal="center" vertical="top" wrapText="1"/>
    </xf>
    <xf numFmtId="0" fontId="40" fillId="0" borderId="49" xfId="0" applyFont="1" applyBorder="1" applyAlignment="1">
      <alignment horizontal="left" vertical="top"/>
    </xf>
    <xf numFmtId="0" fontId="40" fillId="0" borderId="49" xfId="0" applyFont="1" applyBorder="1" applyAlignment="1">
      <alignment horizontal="left" vertical="top" wrapText="1"/>
    </xf>
    <xf numFmtId="1" fontId="40" fillId="0" borderId="49" xfId="0" applyNumberFormat="1" applyFont="1" applyBorder="1" applyAlignment="1">
      <alignment horizontal="center" vertical="top" wrapText="1"/>
    </xf>
    <xf numFmtId="0" fontId="40" fillId="0" borderId="50" xfId="0" applyFont="1" applyBorder="1" applyAlignment="1">
      <alignment horizontal="left" vertical="top"/>
    </xf>
    <xf numFmtId="0" fontId="40" fillId="0" borderId="50" xfId="0" applyFont="1" applyBorder="1" applyAlignment="1">
      <alignment horizontal="left" vertical="top" wrapText="1"/>
    </xf>
    <xf numFmtId="2" fontId="40" fillId="0" borderId="50" xfId="0" applyNumberFormat="1" applyFont="1" applyBorder="1" applyAlignment="1">
      <alignment horizontal="center" vertical="top" wrapText="1"/>
    </xf>
    <xf numFmtId="0" fontId="40" fillId="0" borderId="51" xfId="0" applyFont="1" applyBorder="1" applyAlignment="1">
      <alignment horizontal="left" vertical="center"/>
    </xf>
    <xf numFmtId="0" fontId="40" fillId="0" borderId="51" xfId="0" applyFont="1" applyBorder="1" applyAlignment="1">
      <alignment horizontal="left" vertical="top" wrapText="1"/>
    </xf>
    <xf numFmtId="0" fontId="40" fillId="0" borderId="51" xfId="0" applyFont="1" applyBorder="1" applyAlignment="1">
      <alignment horizontal="center" vertical="top" wrapText="1"/>
    </xf>
    <xf numFmtId="0" fontId="40" fillId="0" borderId="52" xfId="0" applyFont="1" applyBorder="1" applyAlignment="1">
      <alignment horizontal="center" vertical="top" wrapText="1"/>
    </xf>
    <xf numFmtId="2" fontId="40" fillId="0" borderId="52" xfId="0" applyNumberFormat="1" applyFont="1" applyBorder="1" applyAlignment="1">
      <alignment horizontal="center" vertical="top" wrapText="1"/>
    </xf>
    <xf numFmtId="0" fontId="40" fillId="0" borderId="52" xfId="0" applyFont="1" applyBorder="1" applyAlignment="1">
      <alignment horizontal="left" vertical="center"/>
    </xf>
    <xf numFmtId="0" fontId="40" fillId="0" borderId="52" xfId="0" applyFont="1" applyBorder="1" applyAlignment="1">
      <alignment horizontal="left" vertical="top" wrapText="1"/>
    </xf>
    <xf numFmtId="0" fontId="40" fillId="0" borderId="52" xfId="0" applyFont="1" applyBorder="1" applyAlignment="1">
      <alignment horizontal="left" vertical="top"/>
    </xf>
    <xf numFmtId="0" fontId="40" fillId="3" borderId="52" xfId="0" applyFont="1" applyFill="1" applyBorder="1" applyAlignment="1">
      <alignment horizontal="left" vertical="top"/>
    </xf>
    <xf numFmtId="0" fontId="40" fillId="3" borderId="52" xfId="0" applyFont="1" applyFill="1" applyBorder="1" applyAlignment="1">
      <alignment horizontal="center" vertical="top" wrapText="1"/>
    </xf>
    <xf numFmtId="1" fontId="40" fillId="3" borderId="52" xfId="0" applyNumberFormat="1" applyFont="1" applyFill="1" applyBorder="1" applyAlignment="1">
      <alignment horizontal="center" vertical="top" wrapText="1"/>
    </xf>
    <xf numFmtId="2" fontId="40" fillId="3" borderId="52" xfId="0" applyNumberFormat="1" applyFont="1" applyFill="1" applyBorder="1" applyAlignment="1">
      <alignment horizontal="center" vertical="top" wrapText="1"/>
    </xf>
    <xf numFmtId="1" fontId="40" fillId="0" borderId="52" xfId="0" applyNumberFormat="1" applyFont="1" applyBorder="1" applyAlignment="1">
      <alignment horizontal="center" vertical="top" wrapText="1"/>
    </xf>
    <xf numFmtId="0" fontId="40" fillId="0" borderId="53" xfId="0" applyFont="1" applyBorder="1" applyAlignment="1">
      <alignment horizontal="left" vertical="top"/>
    </xf>
    <xf numFmtId="0" fontId="40" fillId="0" borderId="53" xfId="0" applyFont="1" applyBorder="1" applyAlignment="1">
      <alignment horizontal="center" vertical="top" wrapText="1"/>
    </xf>
    <xf numFmtId="1" fontId="40" fillId="0" borderId="53" xfId="0" applyNumberFormat="1" applyFont="1" applyBorder="1" applyAlignment="1">
      <alignment horizontal="center" vertical="top" wrapText="1"/>
    </xf>
    <xf numFmtId="2" fontId="40" fillId="0" borderId="53" xfId="0" applyNumberFormat="1" applyFont="1" applyBorder="1" applyAlignment="1">
      <alignment horizontal="center" vertical="top" wrapText="1"/>
    </xf>
    <xf numFmtId="0" fontId="40" fillId="0" borderId="36" xfId="0" applyFont="1" applyBorder="1" applyAlignment="1">
      <alignment horizontal="left" vertical="top"/>
    </xf>
    <xf numFmtId="0" fontId="40" fillId="0" borderId="36" xfId="0" applyFont="1" applyBorder="1" applyAlignment="1">
      <alignment horizontal="center" vertical="top" wrapText="1"/>
    </xf>
    <xf numFmtId="1" fontId="40" fillId="0" borderId="36" xfId="0" applyNumberFormat="1" applyFont="1" applyBorder="1" applyAlignment="1">
      <alignment horizontal="center" vertical="top" wrapText="1"/>
    </xf>
    <xf numFmtId="2" fontId="40" fillId="0" borderId="36" xfId="0" applyNumberFormat="1" applyFont="1" applyBorder="1" applyAlignment="1">
      <alignment horizontal="center" vertical="top" wrapText="1"/>
    </xf>
    <xf numFmtId="2" fontId="46" fillId="0" borderId="8" xfId="0" applyNumberFormat="1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3" xfId="39" applyFont="1" applyFill="1" applyBorder="1" applyAlignment="1">
      <alignment horizontal="center" vertical="center" wrapText="1"/>
    </xf>
    <xf numFmtId="0" fontId="40" fillId="0" borderId="20" xfId="39" applyFont="1" applyFill="1" applyBorder="1" applyAlignment="1">
      <alignment horizontal="center" vertical="center" wrapText="1"/>
    </xf>
    <xf numFmtId="49" fontId="40" fillId="0" borderId="29" xfId="2" applyNumberFormat="1" applyFont="1" applyBorder="1" applyAlignment="1">
      <alignment horizontal="center" vertical="center" wrapText="1"/>
    </xf>
    <xf numFmtId="2" fontId="40" fillId="0" borderId="8" xfId="39" applyNumberFormat="1" applyFont="1" applyFill="1" applyBorder="1" applyAlignment="1">
      <alignment horizontal="center" vertical="center"/>
    </xf>
    <xf numFmtId="0" fontId="40" fillId="0" borderId="27" xfId="2" applyFont="1" applyBorder="1" applyAlignment="1">
      <alignment horizontal="center" vertical="center"/>
    </xf>
    <xf numFmtId="0" fontId="40" fillId="0" borderId="8" xfId="2" applyFont="1" applyBorder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0" fontId="40" fillId="0" borderId="0" xfId="39" applyFont="1" applyFill="1" applyBorder="1" applyAlignment="1">
      <alignment horizontal="center" vertical="center" wrapText="1"/>
    </xf>
    <xf numFmtId="0" fontId="40" fillId="0" borderId="0" xfId="2" applyFont="1" applyAlignment="1">
      <alignment horizontal="center" vertical="center"/>
    </xf>
    <xf numFmtId="2" fontId="40" fillId="0" borderId="0" xfId="39" applyNumberFormat="1" applyFont="1" applyFill="1" applyBorder="1" applyAlignment="1">
      <alignment horizontal="center" vertical="center"/>
    </xf>
    <xf numFmtId="49" fontId="40" fillId="0" borderId="19" xfId="2" applyNumberFormat="1" applyFont="1" applyBorder="1" applyAlignment="1">
      <alignment horizontal="center" vertical="center" wrapText="1"/>
    </xf>
    <xf numFmtId="0" fontId="40" fillId="0" borderId="54" xfId="0" applyFont="1" applyBorder="1" applyAlignment="1">
      <alignment horizontal="left" vertical="top"/>
    </xf>
    <xf numFmtId="0" fontId="40" fillId="0" borderId="54" xfId="0" applyFont="1" applyBorder="1" applyAlignment="1">
      <alignment horizontal="center" vertical="top" wrapText="1"/>
    </xf>
    <xf numFmtId="1" fontId="40" fillId="0" borderId="54" xfId="0" applyNumberFormat="1" applyFont="1" applyBorder="1" applyAlignment="1">
      <alignment horizontal="center" vertical="top" wrapText="1"/>
    </xf>
    <xf numFmtId="2" fontId="40" fillId="0" borderId="54" xfId="0" applyNumberFormat="1" applyFont="1" applyBorder="1" applyAlignment="1">
      <alignment horizontal="center" vertical="top" wrapText="1"/>
    </xf>
    <xf numFmtId="0" fontId="40" fillId="0" borderId="55" xfId="0" applyFont="1" applyBorder="1" applyAlignment="1">
      <alignment horizontal="center" vertical="top" wrapText="1"/>
    </xf>
    <xf numFmtId="2" fontId="40" fillId="0" borderId="55" xfId="0" applyNumberFormat="1" applyFont="1" applyBorder="1" applyAlignment="1">
      <alignment horizontal="center" vertical="top" wrapText="1"/>
    </xf>
    <xf numFmtId="0" fontId="40" fillId="0" borderId="55" xfId="0" applyFont="1" applyBorder="1" applyAlignment="1">
      <alignment horizontal="left" vertical="top"/>
    </xf>
    <xf numFmtId="1" fontId="40" fillId="0" borderId="55" xfId="0" applyNumberFormat="1" applyFont="1" applyBorder="1" applyAlignment="1">
      <alignment horizontal="center" vertical="top" wrapText="1"/>
    </xf>
    <xf numFmtId="0" fontId="40" fillId="0" borderId="56" xfId="0" applyFont="1" applyBorder="1" applyAlignment="1">
      <alignment horizontal="left" vertical="top"/>
    </xf>
    <xf numFmtId="0" fontId="40" fillId="0" borderId="56" xfId="0" applyFont="1" applyBorder="1" applyAlignment="1">
      <alignment horizontal="left" vertical="top" wrapText="1"/>
    </xf>
    <xf numFmtId="2" fontId="40" fillId="0" borderId="56" xfId="0" applyNumberFormat="1" applyFont="1" applyBorder="1" applyAlignment="1">
      <alignment horizontal="center" vertical="top" wrapText="1"/>
    </xf>
    <xf numFmtId="0" fontId="40" fillId="0" borderId="57" xfId="0" applyFont="1" applyBorder="1" applyAlignment="1">
      <alignment horizontal="center" vertical="top" wrapText="1"/>
    </xf>
    <xf numFmtId="2" fontId="40" fillId="0" borderId="57" xfId="0" applyNumberFormat="1" applyFont="1" applyBorder="1" applyAlignment="1">
      <alignment horizontal="center" vertical="top" wrapText="1"/>
    </xf>
    <xf numFmtId="0" fontId="40" fillId="0" borderId="57" xfId="0" applyFont="1" applyBorder="1" applyAlignment="1">
      <alignment horizontal="left" vertical="top"/>
    </xf>
    <xf numFmtId="1" fontId="40" fillId="0" borderId="57" xfId="0" applyNumberFormat="1" applyFont="1" applyBorder="1" applyAlignment="1">
      <alignment horizontal="center" vertical="top" wrapText="1"/>
    </xf>
    <xf numFmtId="0" fontId="40" fillId="0" borderId="58" xfId="0" applyFont="1" applyBorder="1" applyAlignment="1">
      <alignment horizontal="left" vertical="top"/>
    </xf>
    <xf numFmtId="0" fontId="40" fillId="0" borderId="58" xfId="0" applyFont="1" applyBorder="1" applyAlignment="1">
      <alignment horizontal="center" vertical="top" wrapText="1"/>
    </xf>
    <xf numFmtId="1" fontId="40" fillId="0" borderId="58" xfId="0" applyNumberFormat="1" applyFont="1" applyBorder="1" applyAlignment="1">
      <alignment horizontal="center" vertical="top" wrapText="1"/>
    </xf>
    <xf numFmtId="2" fontId="40" fillId="0" borderId="58" xfId="0" applyNumberFormat="1" applyFont="1" applyBorder="1" applyAlignment="1">
      <alignment horizontal="center" vertical="top" wrapText="1"/>
    </xf>
    <xf numFmtId="2" fontId="41" fillId="0" borderId="8" xfId="0" applyNumberFormat="1" applyFont="1" applyBorder="1" applyAlignment="1">
      <alignment horizontal="center" vertical="center"/>
    </xf>
    <xf numFmtId="0" fontId="40" fillId="3" borderId="59" xfId="0" applyFont="1" applyFill="1" applyBorder="1" applyAlignment="1">
      <alignment horizontal="left" vertical="top"/>
    </xf>
    <xf numFmtId="0" fontId="40" fillId="3" borderId="59" xfId="0" applyFont="1" applyFill="1" applyBorder="1" applyAlignment="1">
      <alignment horizontal="center" vertical="top" wrapText="1"/>
    </xf>
    <xf numFmtId="1" fontId="40" fillId="3" borderId="59" xfId="0" applyNumberFormat="1" applyFont="1" applyFill="1" applyBorder="1" applyAlignment="1">
      <alignment horizontal="center" vertical="top" wrapText="1"/>
    </xf>
    <xf numFmtId="2" fontId="40" fillId="3" borderId="59" xfId="0" applyNumberFormat="1" applyFont="1" applyFill="1" applyBorder="1" applyAlignment="1">
      <alignment horizontal="center" vertical="top" wrapText="1"/>
    </xf>
    <xf numFmtId="0" fontId="40" fillId="0" borderId="60" xfId="0" applyFont="1" applyBorder="1" applyAlignment="1">
      <alignment horizontal="center" vertical="top" wrapText="1"/>
    </xf>
    <xf numFmtId="2" fontId="40" fillId="0" borderId="60" xfId="0" applyNumberFormat="1" applyFont="1" applyBorder="1" applyAlignment="1">
      <alignment horizontal="center" vertical="top" wrapText="1"/>
    </xf>
    <xf numFmtId="2" fontId="41" fillId="0" borderId="3" xfId="0" applyNumberFormat="1" applyFont="1" applyBorder="1" applyAlignment="1">
      <alignment horizontal="center" vertical="top" wrapText="1"/>
    </xf>
    <xf numFmtId="0" fontId="40" fillId="3" borderId="60" xfId="0" applyFont="1" applyFill="1" applyBorder="1" applyAlignment="1">
      <alignment horizontal="left" vertical="top"/>
    </xf>
    <xf numFmtId="0" fontId="40" fillId="3" borderId="60" xfId="0" applyFont="1" applyFill="1" applyBorder="1" applyAlignment="1">
      <alignment horizontal="center" vertical="top" wrapText="1"/>
    </xf>
    <xf numFmtId="1" fontId="40" fillId="3" borderId="60" xfId="0" applyNumberFormat="1" applyFont="1" applyFill="1" applyBorder="1" applyAlignment="1">
      <alignment horizontal="center" vertical="top" wrapText="1"/>
    </xf>
    <xf numFmtId="2" fontId="40" fillId="3" borderId="60" xfId="0" applyNumberFormat="1" applyFont="1" applyFill="1" applyBorder="1" applyAlignment="1">
      <alignment horizontal="center" vertical="top" wrapText="1"/>
    </xf>
    <xf numFmtId="0" fontId="40" fillId="0" borderId="60" xfId="0" applyFont="1" applyBorder="1" applyAlignment="1">
      <alignment horizontal="left" vertical="top"/>
    </xf>
    <xf numFmtId="1" fontId="40" fillId="0" borderId="60" xfId="0" applyNumberFormat="1" applyFont="1" applyBorder="1" applyAlignment="1">
      <alignment horizontal="center" vertical="top" wrapText="1"/>
    </xf>
    <xf numFmtId="0" fontId="112" fillId="0" borderId="61" xfId="0" applyFont="1" applyBorder="1"/>
    <xf numFmtId="22" fontId="51" fillId="0" borderId="61" xfId="0" applyNumberFormat="1" applyFont="1" applyBorder="1" applyAlignment="1">
      <alignment vertical="center"/>
    </xf>
    <xf numFmtId="2" fontId="114" fillId="0" borderId="61" xfId="0" applyNumberFormat="1" applyFont="1" applyBorder="1" applyAlignment="1">
      <alignment vertical="center"/>
    </xf>
    <xf numFmtId="0" fontId="112" fillId="7" borderId="0" xfId="0" applyFont="1" applyFill="1"/>
    <xf numFmtId="2" fontId="112" fillId="0" borderId="0" xfId="0" applyNumberFormat="1" applyFont="1" applyAlignment="1">
      <alignment vertical="center"/>
    </xf>
    <xf numFmtId="0" fontId="118" fillId="0" borderId="0" xfId="0" applyFont="1" applyAlignment="1">
      <alignment horizontal="center" vertical="center"/>
    </xf>
    <xf numFmtId="2" fontId="41" fillId="4" borderId="21" xfId="0" applyNumberFormat="1" applyFont="1" applyFill="1" applyBorder="1" applyAlignment="1">
      <alignment horizontal="center" vertical="top" wrapText="1"/>
    </xf>
    <xf numFmtId="14" fontId="66" fillId="0" borderId="6" xfId="0" applyNumberFormat="1" applyFont="1" applyBorder="1" applyAlignment="1">
      <alignment horizontal="center" vertical="center" wrapText="1"/>
    </xf>
    <xf numFmtId="2" fontId="97" fillId="0" borderId="5" xfId="0" applyNumberFormat="1" applyFont="1" applyBorder="1" applyAlignment="1">
      <alignment horizontal="center" vertical="top" wrapText="1"/>
    </xf>
    <xf numFmtId="0" fontId="40" fillId="3" borderId="62" xfId="0" applyFont="1" applyFill="1" applyBorder="1" applyAlignment="1">
      <alignment horizontal="left" vertical="top"/>
    </xf>
    <xf numFmtId="0" fontId="40" fillId="3" borderId="62" xfId="0" applyFont="1" applyFill="1" applyBorder="1" applyAlignment="1">
      <alignment horizontal="center" vertical="top" wrapText="1"/>
    </xf>
    <xf numFmtId="1" fontId="40" fillId="3" borderId="62" xfId="0" applyNumberFormat="1" applyFont="1" applyFill="1" applyBorder="1" applyAlignment="1">
      <alignment horizontal="center" vertical="top" wrapText="1"/>
    </xf>
    <xf numFmtId="2" fontId="40" fillId="3" borderId="62" xfId="0" applyNumberFormat="1" applyFont="1" applyFill="1" applyBorder="1" applyAlignment="1">
      <alignment horizontal="center" vertical="top" wrapText="1"/>
    </xf>
    <xf numFmtId="0" fontId="40" fillId="0" borderId="62" xfId="0" applyFont="1" applyBorder="1" applyAlignment="1">
      <alignment horizontal="center" vertical="top" wrapText="1"/>
    </xf>
    <xf numFmtId="2" fontId="40" fillId="0" borderId="62" xfId="0" applyNumberFormat="1" applyFont="1" applyBorder="1" applyAlignment="1">
      <alignment horizontal="center" vertical="top" wrapText="1"/>
    </xf>
    <xf numFmtId="0" fontId="40" fillId="0" borderId="62" xfId="0" applyFont="1" applyBorder="1" applyAlignment="1">
      <alignment horizontal="left" vertical="top"/>
    </xf>
    <xf numFmtId="1" fontId="40" fillId="0" borderId="62" xfId="0" applyNumberFormat="1" applyFont="1" applyBorder="1" applyAlignment="1">
      <alignment horizontal="center" vertical="top" wrapText="1"/>
    </xf>
    <xf numFmtId="0" fontId="40" fillId="0" borderId="63" xfId="0" applyFont="1" applyBorder="1" applyAlignment="1">
      <alignment horizontal="left" vertical="center"/>
    </xf>
    <xf numFmtId="0" fontId="40" fillId="0" borderId="63" xfId="0" applyFont="1" applyBorder="1" applyAlignment="1">
      <alignment horizontal="left" vertical="top" wrapText="1"/>
    </xf>
    <xf numFmtId="0" fontId="40" fillId="0" borderId="63" xfId="0" applyFont="1" applyBorder="1" applyAlignment="1">
      <alignment horizontal="center" vertical="top" wrapText="1"/>
    </xf>
    <xf numFmtId="2" fontId="40" fillId="0" borderId="63" xfId="0" applyNumberFormat="1" applyFont="1" applyBorder="1" applyAlignment="1">
      <alignment horizontal="center" vertical="top" wrapText="1"/>
    </xf>
    <xf numFmtId="0" fontId="40" fillId="0" borderId="63" xfId="0" applyFont="1" applyBorder="1" applyAlignment="1">
      <alignment horizontal="left" vertical="top"/>
    </xf>
    <xf numFmtId="49" fontId="34" fillId="0" borderId="4" xfId="2" applyNumberFormat="1" applyFont="1" applyBorder="1" applyAlignment="1">
      <alignment horizontal="center" vertical="center" wrapText="1"/>
    </xf>
    <xf numFmtId="2" fontId="34" fillId="0" borderId="3" xfId="0" applyNumberFormat="1" applyFont="1" applyBorder="1" applyAlignment="1">
      <alignment horizontal="center" vertical="top" wrapText="1"/>
    </xf>
    <xf numFmtId="2" fontId="34" fillId="0" borderId="8" xfId="0" applyNumberFormat="1" applyFont="1" applyBorder="1" applyAlignment="1">
      <alignment horizontal="center" vertical="center"/>
    </xf>
    <xf numFmtId="14" fontId="119" fillId="0" borderId="5" xfId="0" applyNumberFormat="1" applyFont="1" applyBorder="1" applyAlignment="1">
      <alignment horizontal="center" vertical="center" wrapText="1"/>
    </xf>
    <xf numFmtId="2" fontId="33" fillId="3" borderId="5" xfId="0" applyNumberFormat="1" applyFont="1" applyFill="1" applyBorder="1" applyAlignment="1">
      <alignment horizontal="center" vertical="top" wrapText="1"/>
    </xf>
    <xf numFmtId="165" fontId="34" fillId="0" borderId="21" xfId="0" applyNumberFormat="1" applyFont="1" applyBorder="1" applyAlignment="1">
      <alignment horizontal="center" vertical="top" wrapText="1"/>
    </xf>
    <xf numFmtId="2" fontId="34" fillId="0" borderId="21" xfId="0" applyNumberFormat="1" applyFont="1" applyBorder="1" applyAlignment="1">
      <alignment horizontal="center" vertical="top" wrapText="1"/>
    </xf>
    <xf numFmtId="0" fontId="40" fillId="3" borderId="63" xfId="0" applyFont="1" applyFill="1" applyBorder="1" applyAlignment="1">
      <alignment horizontal="left" vertical="top"/>
    </xf>
    <xf numFmtId="0" fontId="40" fillId="3" borderId="63" xfId="0" applyFont="1" applyFill="1" applyBorder="1" applyAlignment="1">
      <alignment horizontal="center" vertical="top" wrapText="1"/>
    </xf>
    <xf numFmtId="1" fontId="40" fillId="3" borderId="63" xfId="0" applyNumberFormat="1" applyFont="1" applyFill="1" applyBorder="1" applyAlignment="1">
      <alignment horizontal="center" vertical="top" wrapText="1"/>
    </xf>
    <xf numFmtId="2" fontId="40" fillId="3" borderId="63" xfId="0" applyNumberFormat="1" applyFont="1" applyFill="1" applyBorder="1" applyAlignment="1">
      <alignment horizontal="center" vertical="top" wrapText="1"/>
    </xf>
    <xf numFmtId="1" fontId="40" fillId="0" borderId="63" xfId="0" applyNumberFormat="1" applyFont="1" applyBorder="1" applyAlignment="1">
      <alignment horizontal="center" vertical="top" wrapText="1"/>
    </xf>
    <xf numFmtId="0" fontId="40" fillId="0" borderId="64" xfId="0" applyFont="1" applyBorder="1" applyAlignment="1">
      <alignment horizontal="left" vertical="center"/>
    </xf>
    <xf numFmtId="0" fontId="40" fillId="0" borderId="64" xfId="0" applyFont="1" applyBorder="1" applyAlignment="1">
      <alignment horizontal="left" vertical="top" wrapText="1"/>
    </xf>
    <xf numFmtId="0" fontId="40" fillId="0" borderId="64" xfId="0" applyFont="1" applyBorder="1" applyAlignment="1">
      <alignment horizontal="center" vertical="top" wrapText="1"/>
    </xf>
    <xf numFmtId="2" fontId="40" fillId="0" borderId="64" xfId="0" applyNumberFormat="1" applyFont="1" applyBorder="1" applyAlignment="1">
      <alignment horizontal="center" vertical="top" wrapText="1"/>
    </xf>
    <xf numFmtId="0" fontId="40" fillId="0" borderId="64" xfId="0" applyFont="1" applyBorder="1" applyAlignment="1">
      <alignment horizontal="left" vertical="top"/>
    </xf>
    <xf numFmtId="1" fontId="40" fillId="0" borderId="64" xfId="0" applyNumberFormat="1" applyFont="1" applyBorder="1" applyAlignment="1">
      <alignment horizontal="center" vertical="top" wrapText="1"/>
    </xf>
    <xf numFmtId="0" fontId="40" fillId="0" borderId="65" xfId="0" applyFont="1" applyBorder="1" applyAlignment="1">
      <alignment horizontal="left" vertical="top"/>
    </xf>
    <xf numFmtId="0" fontId="40" fillId="0" borderId="65" xfId="0" applyFont="1" applyBorder="1" applyAlignment="1">
      <alignment horizontal="center" vertical="top" wrapText="1"/>
    </xf>
    <xf numFmtId="1" fontId="40" fillId="0" borderId="65" xfId="0" applyNumberFormat="1" applyFont="1" applyBorder="1" applyAlignment="1">
      <alignment horizontal="center" vertical="top" wrapText="1"/>
    </xf>
    <xf numFmtId="2" fontId="40" fillId="0" borderId="65" xfId="0" applyNumberFormat="1" applyFont="1" applyBorder="1" applyAlignment="1">
      <alignment horizontal="center" vertical="top" wrapText="1"/>
    </xf>
    <xf numFmtId="0" fontId="40" fillId="0" borderId="66" xfId="0" applyFont="1" applyBorder="1" applyAlignment="1">
      <alignment horizontal="left" vertical="top"/>
    </xf>
    <xf numFmtId="0" fontId="40" fillId="0" borderId="66" xfId="0" applyFont="1" applyBorder="1" applyAlignment="1">
      <alignment horizontal="center" vertical="top" wrapText="1"/>
    </xf>
    <xf numFmtId="1" fontId="40" fillId="0" borderId="66" xfId="0" applyNumberFormat="1" applyFont="1" applyBorder="1" applyAlignment="1">
      <alignment horizontal="center" vertical="top" wrapText="1"/>
    </xf>
    <xf numFmtId="2" fontId="40" fillId="0" borderId="66" xfId="0" applyNumberFormat="1" applyFont="1" applyBorder="1" applyAlignment="1">
      <alignment horizontal="center" vertical="top" wrapText="1"/>
    </xf>
    <xf numFmtId="0" fontId="40" fillId="3" borderId="67" xfId="0" applyFont="1" applyFill="1" applyBorder="1" applyAlignment="1">
      <alignment horizontal="left" vertical="top"/>
    </xf>
    <xf numFmtId="0" fontId="40" fillId="3" borderId="67" xfId="0" applyFont="1" applyFill="1" applyBorder="1" applyAlignment="1">
      <alignment horizontal="center" vertical="top" wrapText="1"/>
    </xf>
    <xf numFmtId="1" fontId="40" fillId="3" borderId="67" xfId="0" applyNumberFormat="1" applyFont="1" applyFill="1" applyBorder="1" applyAlignment="1">
      <alignment horizontal="center" vertical="top" wrapText="1"/>
    </xf>
    <xf numFmtId="2" fontId="40" fillId="3" borderId="67" xfId="0" applyNumberFormat="1" applyFont="1" applyFill="1" applyBorder="1" applyAlignment="1">
      <alignment horizontal="center" vertical="top" wrapText="1"/>
    </xf>
    <xf numFmtId="0" fontId="40" fillId="0" borderId="67" xfId="0" applyFont="1" applyBorder="1" applyAlignment="1">
      <alignment horizontal="center" vertical="top" wrapText="1"/>
    </xf>
    <xf numFmtId="2" fontId="40" fillId="0" borderId="67" xfId="0" applyNumberFormat="1" applyFont="1" applyBorder="1" applyAlignment="1">
      <alignment horizontal="center" vertical="top" wrapText="1"/>
    </xf>
    <xf numFmtId="0" fontId="40" fillId="0" borderId="67" xfId="0" applyFont="1" applyBorder="1" applyAlignment="1">
      <alignment horizontal="left" vertical="top"/>
    </xf>
    <xf numFmtId="1" fontId="40" fillId="0" borderId="67" xfId="0" applyNumberFormat="1" applyFont="1" applyBorder="1" applyAlignment="1">
      <alignment horizontal="center" vertical="top" wrapText="1"/>
    </xf>
    <xf numFmtId="0" fontId="40" fillId="0" borderId="68" xfId="0" applyFont="1" applyBorder="1" applyAlignment="1">
      <alignment horizontal="left" vertical="top"/>
    </xf>
    <xf numFmtId="0" fontId="40" fillId="0" borderId="68" xfId="39" applyFont="1" applyBorder="1" applyAlignment="1">
      <alignment horizontal="left" vertical="top" wrapText="1"/>
    </xf>
    <xf numFmtId="0" fontId="40" fillId="0" borderId="68" xfId="0" applyFont="1" applyBorder="1" applyAlignment="1">
      <alignment horizontal="left" vertical="top" wrapText="1"/>
    </xf>
    <xf numFmtId="2" fontId="40" fillId="0" borderId="68" xfId="0" applyNumberFormat="1" applyFont="1" applyBorder="1" applyAlignment="1">
      <alignment horizontal="center" vertical="top" wrapText="1"/>
    </xf>
    <xf numFmtId="0" fontId="40" fillId="0" borderId="68" xfId="0" applyFont="1" applyBorder="1" applyAlignment="1">
      <alignment horizontal="center" vertical="top" wrapText="1"/>
    </xf>
    <xf numFmtId="0" fontId="40" fillId="3" borderId="68" xfId="0" applyFont="1" applyFill="1" applyBorder="1" applyAlignment="1">
      <alignment horizontal="left" vertical="top"/>
    </xf>
    <xf numFmtId="0" fontId="40" fillId="3" borderId="68" xfId="0" applyFont="1" applyFill="1" applyBorder="1" applyAlignment="1">
      <alignment horizontal="center" vertical="top" wrapText="1"/>
    </xf>
    <xf numFmtId="1" fontId="40" fillId="3" borderId="68" xfId="0" applyNumberFormat="1" applyFont="1" applyFill="1" applyBorder="1" applyAlignment="1">
      <alignment horizontal="center" vertical="top" wrapText="1"/>
    </xf>
    <xf numFmtId="2" fontId="40" fillId="3" borderId="68" xfId="0" applyNumberFormat="1" applyFont="1" applyFill="1" applyBorder="1" applyAlignment="1">
      <alignment horizontal="center" vertical="top" wrapText="1"/>
    </xf>
    <xf numFmtId="1" fontId="40" fillId="0" borderId="68" xfId="0" applyNumberFormat="1" applyFont="1" applyBorder="1" applyAlignment="1">
      <alignment horizontal="center" vertical="top" wrapText="1"/>
    </xf>
    <xf numFmtId="0" fontId="40" fillId="0" borderId="69" xfId="0" applyFont="1" applyBorder="1" applyAlignment="1">
      <alignment horizontal="left" vertical="center"/>
    </xf>
    <xf numFmtId="0" fontId="40" fillId="0" borderId="69" xfId="0" applyFont="1" applyBorder="1" applyAlignment="1">
      <alignment horizontal="left" vertical="top" wrapText="1"/>
    </xf>
    <xf numFmtId="0" fontId="40" fillId="0" borderId="69" xfId="0" applyFont="1" applyBorder="1" applyAlignment="1">
      <alignment horizontal="center" vertical="top" wrapText="1"/>
    </xf>
    <xf numFmtId="2" fontId="40" fillId="0" borderId="69" xfId="0" applyNumberFormat="1" applyFont="1" applyBorder="1" applyAlignment="1">
      <alignment horizontal="center" vertical="top" wrapText="1"/>
    </xf>
    <xf numFmtId="0" fontId="40" fillId="0" borderId="69" xfId="0" applyFont="1" applyBorder="1" applyAlignment="1">
      <alignment horizontal="left" vertical="top"/>
    </xf>
    <xf numFmtId="1" fontId="40" fillId="0" borderId="69" xfId="0" applyNumberFormat="1" applyFont="1" applyBorder="1" applyAlignment="1">
      <alignment horizontal="center" vertical="top" wrapText="1"/>
    </xf>
    <xf numFmtId="0" fontId="40" fillId="0" borderId="20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49" fontId="40" fillId="0" borderId="31" xfId="2" applyNumberFormat="1" applyFont="1" applyBorder="1" applyAlignment="1">
      <alignment horizontal="center" vertical="center" wrapText="1"/>
    </xf>
    <xf numFmtId="49" fontId="40" fillId="0" borderId="30" xfId="0" applyNumberFormat="1" applyFont="1" applyBorder="1" applyAlignment="1">
      <alignment horizontal="center" vertical="center"/>
    </xf>
    <xf numFmtId="49" fontId="40" fillId="0" borderId="20" xfId="0" applyNumberFormat="1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49" fontId="40" fillId="0" borderId="34" xfId="0" applyNumberFormat="1" applyFont="1" applyBorder="1" applyAlignment="1">
      <alignment horizontal="center" vertical="center"/>
    </xf>
    <xf numFmtId="0" fontId="40" fillId="0" borderId="34" xfId="39" applyFont="1" applyFill="1" applyBorder="1" applyAlignment="1">
      <alignment horizontal="center" vertical="center" wrapText="1"/>
    </xf>
    <xf numFmtId="0" fontId="40" fillId="0" borderId="34" xfId="2" applyFont="1" applyBorder="1" applyAlignment="1">
      <alignment horizontal="center" vertical="center"/>
    </xf>
    <xf numFmtId="2" fontId="40" fillId="0" borderId="34" xfId="39" applyNumberFormat="1" applyFont="1" applyFill="1" applyBorder="1" applyAlignment="1">
      <alignment horizontal="center" vertical="center"/>
    </xf>
    <xf numFmtId="0" fontId="40" fillId="0" borderId="33" xfId="2" applyFont="1" applyBorder="1" applyAlignment="1">
      <alignment horizontal="center" vertical="center"/>
    </xf>
    <xf numFmtId="0" fontId="40" fillId="0" borderId="70" xfId="0" applyFont="1" applyBorder="1" applyAlignment="1">
      <alignment horizontal="left" vertical="top"/>
    </xf>
    <xf numFmtId="0" fontId="40" fillId="0" borderId="70" xfId="0" applyFont="1" applyBorder="1" applyAlignment="1">
      <alignment horizontal="center" vertical="top" wrapText="1"/>
    </xf>
    <xf numFmtId="1" fontId="40" fillId="0" borderId="70" xfId="0" applyNumberFormat="1" applyFont="1" applyBorder="1" applyAlignment="1">
      <alignment horizontal="center" vertical="top" wrapText="1"/>
    </xf>
    <xf numFmtId="2" fontId="40" fillId="0" borderId="70" xfId="0" applyNumberFormat="1" applyFont="1" applyBorder="1" applyAlignment="1">
      <alignment horizontal="center" vertical="top" wrapText="1"/>
    </xf>
    <xf numFmtId="0" fontId="40" fillId="0" borderId="70" xfId="0" applyFont="1" applyBorder="1" applyAlignment="1">
      <alignment horizontal="left" vertical="top" wrapText="1"/>
    </xf>
    <xf numFmtId="0" fontId="34" fillId="0" borderId="37" xfId="0" applyFont="1" applyBorder="1" applyAlignment="1">
      <alignment horizontal="center" vertical="top" wrapText="1"/>
    </xf>
    <xf numFmtId="0" fontId="34" fillId="0" borderId="21" xfId="0" applyFont="1" applyBorder="1" applyAlignment="1">
      <alignment horizontal="center" vertical="top" wrapText="1"/>
    </xf>
    <xf numFmtId="0" fontId="34" fillId="4" borderId="21" xfId="0" applyFont="1" applyFill="1" applyBorder="1" applyAlignment="1">
      <alignment horizontal="center" vertical="top" wrapText="1"/>
    </xf>
    <xf numFmtId="2" fontId="34" fillId="4" borderId="21" xfId="0" applyNumberFormat="1" applyFont="1" applyFill="1" applyBorder="1" applyAlignment="1">
      <alignment horizontal="center" vertical="top" wrapText="1"/>
    </xf>
    <xf numFmtId="2" fontId="33" fillId="0" borderId="8" xfId="0" applyNumberFormat="1" applyFont="1" applyBorder="1" applyAlignment="1">
      <alignment horizontal="center" vertical="center"/>
    </xf>
    <xf numFmtId="2" fontId="33" fillId="0" borderId="5" xfId="0" applyNumberFormat="1" applyFont="1" applyBorder="1" applyAlignment="1">
      <alignment horizontal="center" vertical="top" wrapText="1"/>
    </xf>
    <xf numFmtId="0" fontId="1" fillId="0" borderId="0" xfId="82"/>
    <xf numFmtId="0" fontId="118" fillId="0" borderId="74" xfId="82" applyFont="1" applyBorder="1" applyAlignment="1">
      <alignment horizontal="center" vertical="center" wrapText="1"/>
    </xf>
    <xf numFmtId="0" fontId="118" fillId="0" borderId="78" xfId="82" applyFont="1" applyBorder="1" applyAlignment="1">
      <alignment horizontal="center" vertical="center" wrapText="1"/>
    </xf>
    <xf numFmtId="0" fontId="118" fillId="0" borderId="82" xfId="82" applyFont="1" applyBorder="1" applyAlignment="1">
      <alignment horizontal="center" vertical="center" wrapText="1"/>
    </xf>
    <xf numFmtId="0" fontId="118" fillId="0" borderId="83" xfId="82" applyFont="1" applyBorder="1" applyAlignment="1">
      <alignment horizontal="center" vertical="center" wrapText="1"/>
    </xf>
    <xf numFmtId="0" fontId="1" fillId="0" borderId="83" xfId="82" applyBorder="1" applyAlignment="1">
      <alignment wrapText="1"/>
    </xf>
    <xf numFmtId="1" fontId="1" fillId="0" borderId="0" xfId="82" applyNumberFormat="1"/>
    <xf numFmtId="3" fontId="118" fillId="0" borderId="83" xfId="82" applyNumberFormat="1" applyFont="1" applyBorder="1" applyAlignment="1">
      <alignment wrapText="1"/>
    </xf>
    <xf numFmtId="3" fontId="1" fillId="0" borderId="0" xfId="82" applyNumberFormat="1"/>
    <xf numFmtId="0" fontId="40" fillId="4" borderId="84" xfId="0" applyFont="1" applyFill="1" applyBorder="1" applyAlignment="1">
      <alignment horizontal="left" vertical="top"/>
    </xf>
    <xf numFmtId="0" fontId="40" fillId="4" borderId="84" xfId="0" applyFont="1" applyFill="1" applyBorder="1" applyAlignment="1">
      <alignment horizontal="center" vertical="top" wrapText="1"/>
    </xf>
    <xf numFmtId="0" fontId="40" fillId="6" borderId="84" xfId="0" applyFont="1" applyFill="1" applyBorder="1" applyAlignment="1">
      <alignment horizontal="center" vertical="top" wrapText="1"/>
    </xf>
    <xf numFmtId="1" fontId="40" fillId="4" borderId="84" xfId="0" applyNumberFormat="1" applyFont="1" applyFill="1" applyBorder="1" applyAlignment="1">
      <alignment horizontal="center" vertical="top" wrapText="1"/>
    </xf>
    <xf numFmtId="2" fontId="40" fillId="4" borderId="84" xfId="0" applyNumberFormat="1" applyFont="1" applyFill="1" applyBorder="1" applyAlignment="1">
      <alignment horizontal="center" vertical="top" wrapText="1"/>
    </xf>
    <xf numFmtId="166" fontId="41" fillId="4" borderId="84" xfId="0" applyNumberFormat="1" applyFont="1" applyFill="1" applyBorder="1" applyAlignment="1">
      <alignment horizontal="center" vertical="top" wrapText="1"/>
    </xf>
    <xf numFmtId="0" fontId="41" fillId="4" borderId="84" xfId="0" applyFont="1" applyFill="1" applyBorder="1" applyAlignment="1">
      <alignment horizontal="center" vertical="top" wrapText="1"/>
    </xf>
    <xf numFmtId="14" fontId="116" fillId="0" borderId="0" xfId="0" applyNumberFormat="1" applyFont="1" applyAlignment="1">
      <alignment horizontal="center" vertical="center" wrapText="1"/>
    </xf>
    <xf numFmtId="2" fontId="46" fillId="0" borderId="0" xfId="0" applyNumberFormat="1" applyFont="1" applyAlignment="1">
      <alignment horizontal="center" vertical="top" wrapText="1"/>
    </xf>
    <xf numFmtId="0" fontId="40" fillId="0" borderId="0" xfId="0" applyFont="1" applyAlignment="1">
      <alignment horizontal="left" vertical="top"/>
    </xf>
    <xf numFmtId="0" fontId="40" fillId="0" borderId="0" xfId="0" applyFont="1" applyAlignment="1">
      <alignment horizontal="center" vertical="top" wrapText="1"/>
    </xf>
    <xf numFmtId="1" fontId="40" fillId="0" borderId="0" xfId="0" applyNumberFormat="1" applyFont="1" applyAlignment="1">
      <alignment horizontal="center" vertical="top" wrapText="1"/>
    </xf>
    <xf numFmtId="2" fontId="40" fillId="0" borderId="0" xfId="0" applyNumberFormat="1" applyFont="1" applyAlignment="1">
      <alignment horizontal="center" vertical="top" wrapText="1"/>
    </xf>
    <xf numFmtId="0" fontId="40" fillId="0" borderId="85" xfId="0" applyFont="1" applyBorder="1" applyAlignment="1">
      <alignment horizontal="left" vertical="top"/>
    </xf>
    <xf numFmtId="0" fontId="40" fillId="0" borderId="85" xfId="39" applyFont="1" applyBorder="1" applyAlignment="1">
      <alignment horizontal="left" vertical="top" wrapText="1"/>
    </xf>
    <xf numFmtId="0" fontId="40" fillId="0" borderId="85" xfId="0" applyFont="1" applyBorder="1" applyAlignment="1">
      <alignment horizontal="center" vertical="top" wrapText="1"/>
    </xf>
    <xf numFmtId="1" fontId="40" fillId="0" borderId="85" xfId="0" applyNumberFormat="1" applyFont="1" applyBorder="1" applyAlignment="1">
      <alignment horizontal="center" vertical="top" wrapText="1"/>
    </xf>
    <xf numFmtId="2" fontId="40" fillId="0" borderId="85" xfId="0" applyNumberFormat="1" applyFont="1" applyBorder="1" applyAlignment="1">
      <alignment horizontal="center" vertical="top" wrapText="1"/>
    </xf>
    <xf numFmtId="49" fontId="40" fillId="0" borderId="38" xfId="2" applyNumberFormat="1" applyFont="1" applyBorder="1" applyAlignment="1">
      <alignment horizontal="center" vertical="center" wrapText="1"/>
    </xf>
    <xf numFmtId="165" fontId="40" fillId="0" borderId="85" xfId="0" applyNumberFormat="1" applyFont="1" applyBorder="1" applyAlignment="1">
      <alignment horizontal="center" vertical="top" wrapText="1"/>
    </xf>
    <xf numFmtId="0" fontId="40" fillId="4" borderId="36" xfId="0" applyFont="1" applyFill="1" applyBorder="1" applyAlignment="1">
      <alignment horizontal="left" vertical="top"/>
    </xf>
    <xf numFmtId="0" fontId="40" fillId="4" borderId="36" xfId="0" applyFont="1" applyFill="1" applyBorder="1" applyAlignment="1">
      <alignment horizontal="center" vertical="top" wrapText="1"/>
    </xf>
    <xf numFmtId="0" fontId="40" fillId="6" borderId="36" xfId="0" applyFont="1" applyFill="1" applyBorder="1" applyAlignment="1">
      <alignment horizontal="center" vertical="top" wrapText="1"/>
    </xf>
    <xf numFmtId="1" fontId="40" fillId="4" borderId="36" xfId="0" applyNumberFormat="1" applyFont="1" applyFill="1" applyBorder="1" applyAlignment="1">
      <alignment horizontal="center" vertical="top" wrapText="1"/>
    </xf>
    <xf numFmtId="2" fontId="40" fillId="4" borderId="36" xfId="0" applyNumberFormat="1" applyFont="1" applyFill="1" applyBorder="1" applyAlignment="1">
      <alignment horizontal="center" vertical="top" wrapText="1"/>
    </xf>
    <xf numFmtId="14" fontId="41" fillId="4" borderId="36" xfId="0" applyNumberFormat="1" applyFont="1" applyFill="1" applyBorder="1" applyAlignment="1">
      <alignment horizontal="center" vertical="top" wrapText="1"/>
    </xf>
    <xf numFmtId="166" fontId="41" fillId="4" borderId="36" xfId="0" applyNumberFormat="1" applyFont="1" applyFill="1" applyBorder="1" applyAlignment="1">
      <alignment horizontal="center" vertical="top" wrapText="1"/>
    </xf>
    <xf numFmtId="0" fontId="41" fillId="4" borderId="36" xfId="0" applyFont="1" applyFill="1" applyBorder="1" applyAlignment="1">
      <alignment horizontal="center" vertical="top" wrapText="1"/>
    </xf>
    <xf numFmtId="14" fontId="41" fillId="4" borderId="84" xfId="0" applyNumberFormat="1" applyFont="1" applyFill="1" applyBorder="1" applyAlignment="1">
      <alignment horizontal="center" vertical="top" wrapText="1"/>
    </xf>
    <xf numFmtId="0" fontId="40" fillId="0" borderId="84" xfId="0" applyFont="1" applyBorder="1" applyAlignment="1">
      <alignment horizontal="left" vertical="top"/>
    </xf>
    <xf numFmtId="0" fontId="40" fillId="0" borderId="84" xfId="39" applyFont="1" applyBorder="1" applyAlignment="1">
      <alignment horizontal="left" vertical="top" wrapText="1"/>
    </xf>
    <xf numFmtId="0" fontId="40" fillId="0" borderId="84" xfId="0" applyFont="1" applyBorder="1" applyAlignment="1">
      <alignment horizontal="center" vertical="top" wrapText="1"/>
    </xf>
    <xf numFmtId="1" fontId="40" fillId="0" borderId="84" xfId="0" applyNumberFormat="1" applyFont="1" applyBorder="1" applyAlignment="1">
      <alignment horizontal="center" vertical="top" wrapText="1"/>
    </xf>
    <xf numFmtId="2" fontId="40" fillId="0" borderId="84" xfId="0" applyNumberFormat="1" applyFont="1" applyBorder="1" applyAlignment="1">
      <alignment horizontal="center" vertical="top" wrapText="1"/>
    </xf>
    <xf numFmtId="49" fontId="40" fillId="0" borderId="84" xfId="2" applyNumberFormat="1" applyFont="1" applyBorder="1" applyAlignment="1">
      <alignment horizontal="center" vertical="center" wrapText="1"/>
    </xf>
    <xf numFmtId="165" fontId="40" fillId="0" borderId="84" xfId="0" applyNumberFormat="1" applyFont="1" applyBorder="1" applyAlignment="1">
      <alignment horizontal="center" vertical="top" wrapText="1"/>
    </xf>
    <xf numFmtId="49" fontId="40" fillId="0" borderId="86" xfId="2" applyNumberFormat="1" applyFont="1" applyBorder="1" applyAlignment="1">
      <alignment horizontal="center" vertical="center" wrapText="1"/>
    </xf>
    <xf numFmtId="2" fontId="40" fillId="0" borderId="87" xfId="0" applyNumberFormat="1" applyFont="1" applyBorder="1" applyAlignment="1">
      <alignment horizontal="center" vertical="top" wrapText="1"/>
    </xf>
    <xf numFmtId="2" fontId="40" fillId="0" borderId="87" xfId="0" applyNumberFormat="1" applyFont="1" applyBorder="1" applyAlignment="1">
      <alignment horizontal="center" vertical="center"/>
    </xf>
    <xf numFmtId="165" fontId="121" fillId="0" borderId="0" xfId="0" applyNumberFormat="1" applyFont="1" applyAlignment="1">
      <alignment vertical="top"/>
    </xf>
    <xf numFmtId="2" fontId="121" fillId="0" borderId="0" xfId="0" applyNumberFormat="1" applyFont="1" applyAlignment="1">
      <alignment vertical="top"/>
    </xf>
    <xf numFmtId="0" fontId="121" fillId="0" borderId="0" xfId="0" applyFont="1" applyAlignment="1">
      <alignment vertical="top"/>
    </xf>
    <xf numFmtId="174" fontId="121" fillId="0" borderId="0" xfId="0" applyNumberFormat="1" applyFont="1" applyAlignment="1">
      <alignment vertical="top"/>
    </xf>
    <xf numFmtId="2" fontId="42" fillId="0" borderId="0" xfId="0" applyNumberFormat="1" applyFont="1" applyAlignment="1">
      <alignment vertical="top"/>
    </xf>
    <xf numFmtId="0" fontId="41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40" fillId="3" borderId="17" xfId="0" applyFont="1" applyFill="1" applyBorder="1" applyAlignment="1">
      <alignment horizontal="center" vertical="center"/>
    </xf>
    <xf numFmtId="0" fontId="40" fillId="3" borderId="18" xfId="0" applyFont="1" applyFill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3" borderId="14" xfId="0" applyFont="1" applyFill="1" applyBorder="1" applyAlignment="1">
      <alignment horizontal="center"/>
    </xf>
    <xf numFmtId="0" fontId="40" fillId="3" borderId="0" xfId="0" applyFont="1" applyFill="1" applyAlignment="1">
      <alignment horizontal="left"/>
    </xf>
    <xf numFmtId="0" fontId="40" fillId="0" borderId="10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0" xfId="0" applyFont="1" applyAlignment="1">
      <alignment horizontal="left" vertical="center"/>
    </xf>
    <xf numFmtId="2" fontId="42" fillId="3" borderId="0" xfId="0" applyNumberFormat="1" applyFont="1" applyFill="1" applyAlignment="1">
      <alignment horizontal="center" vertical="top"/>
    </xf>
    <xf numFmtId="0" fontId="40" fillId="0" borderId="0" xfId="0" applyFont="1" applyAlignment="1">
      <alignment horizontal="left" vertical="center" wrapText="1"/>
    </xf>
    <xf numFmtId="2" fontId="41" fillId="0" borderId="0" xfId="0" applyNumberFormat="1" applyFont="1" applyAlignment="1">
      <alignment horizontal="left" vertical="center" wrapText="1"/>
    </xf>
    <xf numFmtId="0" fontId="34" fillId="0" borderId="0" xfId="0" applyFont="1"/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justify" vertical="center"/>
    </xf>
    <xf numFmtId="0" fontId="46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120" fillId="0" borderId="0" xfId="82" applyFont="1" applyAlignment="1">
      <alignment horizontal="left" wrapText="1"/>
    </xf>
    <xf numFmtId="0" fontId="120" fillId="0" borderId="0" xfId="82" applyFont="1" applyAlignment="1">
      <alignment horizontal="center" wrapText="1"/>
    </xf>
    <xf numFmtId="0" fontId="118" fillId="0" borderId="79" xfId="82" applyFont="1" applyBorder="1" applyAlignment="1">
      <alignment horizontal="center" vertical="center" wrapText="1"/>
    </xf>
    <xf numFmtId="0" fontId="118" fillId="0" borderId="80" xfId="82" applyFont="1" applyBorder="1" applyAlignment="1">
      <alignment horizontal="center" vertical="center" wrapText="1"/>
    </xf>
    <xf numFmtId="0" fontId="118" fillId="0" borderId="81" xfId="82" applyFont="1" applyBorder="1" applyAlignment="1">
      <alignment horizontal="center" vertical="center" wrapText="1"/>
    </xf>
    <xf numFmtId="0" fontId="118" fillId="0" borderId="71" xfId="82" applyFont="1" applyBorder="1" applyAlignment="1">
      <alignment horizontal="center" vertical="center" wrapText="1"/>
    </xf>
    <xf numFmtId="0" fontId="118" fillId="0" borderId="72" xfId="82" applyFont="1" applyBorder="1" applyAlignment="1">
      <alignment horizontal="center" vertical="center" wrapText="1"/>
    </xf>
    <xf numFmtId="0" fontId="118" fillId="0" borderId="73" xfId="82" applyFont="1" applyBorder="1" applyAlignment="1">
      <alignment horizontal="center" vertical="center" wrapText="1"/>
    </xf>
    <xf numFmtId="0" fontId="118" fillId="0" borderId="75" xfId="82" applyFont="1" applyBorder="1" applyAlignment="1">
      <alignment horizontal="center" vertical="center" wrapText="1"/>
    </xf>
    <xf numFmtId="0" fontId="118" fillId="0" borderId="76" xfId="82" applyFont="1" applyBorder="1" applyAlignment="1">
      <alignment horizontal="center" vertical="center" wrapText="1"/>
    </xf>
    <xf numFmtId="0" fontId="118" fillId="0" borderId="77" xfId="82" applyFont="1" applyBorder="1" applyAlignment="1">
      <alignment horizontal="center" vertical="center" wrapText="1"/>
    </xf>
    <xf numFmtId="0" fontId="118" fillId="0" borderId="74" xfId="82" applyFont="1" applyBorder="1" applyAlignment="1">
      <alignment horizontal="center" vertical="center" wrapText="1"/>
    </xf>
    <xf numFmtId="0" fontId="118" fillId="0" borderId="82" xfId="82" applyFont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40" fillId="0" borderId="1" xfId="0" applyFont="1" applyBorder="1" applyAlignment="1">
      <alignment wrapText="1"/>
    </xf>
  </cellXfs>
  <cellStyles count="83">
    <cellStyle name="Гиперссылка" xfId="39" builtinId="8"/>
    <cellStyle name="Обычный" xfId="0" builtinId="0"/>
    <cellStyle name="Обычный 10" xfId="10" xr:uid="{00000000-0005-0000-0000-000002000000}"/>
    <cellStyle name="Обычный 11" xfId="11" xr:uid="{00000000-0005-0000-0000-000003000000}"/>
    <cellStyle name="Обычный 12" xfId="12" xr:uid="{00000000-0005-0000-0000-000004000000}"/>
    <cellStyle name="Обычный 13" xfId="13" xr:uid="{00000000-0005-0000-0000-000005000000}"/>
    <cellStyle name="Обычный 14" xfId="14" xr:uid="{00000000-0005-0000-0000-000006000000}"/>
    <cellStyle name="Обычный 14 2" xfId="28" xr:uid="{00000000-0005-0000-0000-000007000000}"/>
    <cellStyle name="Обычный 15" xfId="15" xr:uid="{00000000-0005-0000-0000-000008000000}"/>
    <cellStyle name="Обычный 16" xfId="16" xr:uid="{00000000-0005-0000-0000-000009000000}"/>
    <cellStyle name="Обычный 17" xfId="17" xr:uid="{00000000-0005-0000-0000-00000A000000}"/>
    <cellStyle name="Обычный 18" xfId="18" xr:uid="{00000000-0005-0000-0000-00000B000000}"/>
    <cellStyle name="Обычный 19" xfId="19" xr:uid="{00000000-0005-0000-0000-00000C000000}"/>
    <cellStyle name="Обычный 2" xfId="2" xr:uid="{00000000-0005-0000-0000-00000D000000}"/>
    <cellStyle name="Обычный 20" xfId="20" xr:uid="{00000000-0005-0000-0000-00000E000000}"/>
    <cellStyle name="Обычный 21" xfId="21" xr:uid="{00000000-0005-0000-0000-00000F000000}"/>
    <cellStyle name="Обычный 22" xfId="22" xr:uid="{00000000-0005-0000-0000-000010000000}"/>
    <cellStyle name="Обычный 23" xfId="23" xr:uid="{00000000-0005-0000-0000-000011000000}"/>
    <cellStyle name="Обычный 24" xfId="24" xr:uid="{00000000-0005-0000-0000-000012000000}"/>
    <cellStyle name="Обычный 25" xfId="25" xr:uid="{00000000-0005-0000-0000-000013000000}"/>
    <cellStyle name="Обычный 26" xfId="26" xr:uid="{00000000-0005-0000-0000-000014000000}"/>
    <cellStyle name="Обычный 27" xfId="27" xr:uid="{00000000-0005-0000-0000-000015000000}"/>
    <cellStyle name="Обычный 28" xfId="29" xr:uid="{00000000-0005-0000-0000-000016000000}"/>
    <cellStyle name="Обычный 29" xfId="30" xr:uid="{00000000-0005-0000-0000-000017000000}"/>
    <cellStyle name="Обычный 3" xfId="1" xr:uid="{00000000-0005-0000-0000-000018000000}"/>
    <cellStyle name="Обычный 30" xfId="31" xr:uid="{00000000-0005-0000-0000-000019000000}"/>
    <cellStyle name="Обычный 31" xfId="32" xr:uid="{00000000-0005-0000-0000-00001A000000}"/>
    <cellStyle name="Обычный 32" xfId="34" xr:uid="{00000000-0005-0000-0000-00001B000000}"/>
    <cellStyle name="Обычный 33" xfId="35" xr:uid="{00000000-0005-0000-0000-00001C000000}"/>
    <cellStyle name="Обычный 34" xfId="36" xr:uid="{00000000-0005-0000-0000-00001D000000}"/>
    <cellStyle name="Обычный 35" xfId="37" xr:uid="{00000000-0005-0000-0000-00001E000000}"/>
    <cellStyle name="Обычный 36" xfId="38" xr:uid="{00000000-0005-0000-0000-00001F000000}"/>
    <cellStyle name="Обычный 37" xfId="40" xr:uid="{00000000-0005-0000-0000-000020000000}"/>
    <cellStyle name="Обычный 38" xfId="41" xr:uid="{00000000-0005-0000-0000-000021000000}"/>
    <cellStyle name="Обычный 39" xfId="42" xr:uid="{00000000-0005-0000-0000-000022000000}"/>
    <cellStyle name="Обычный 4" xfId="4" xr:uid="{00000000-0005-0000-0000-000023000000}"/>
    <cellStyle name="Обычный 40" xfId="43" xr:uid="{00000000-0005-0000-0000-000024000000}"/>
    <cellStyle name="Обычный 41" xfId="44" xr:uid="{00000000-0005-0000-0000-000025000000}"/>
    <cellStyle name="Обычный 42" xfId="45" xr:uid="{00000000-0005-0000-0000-000026000000}"/>
    <cellStyle name="Обычный 43" xfId="46" xr:uid="{00000000-0005-0000-0000-000027000000}"/>
    <cellStyle name="Обычный 44" xfId="47" xr:uid="{00000000-0005-0000-0000-000028000000}"/>
    <cellStyle name="Обычный 45" xfId="48" xr:uid="{00000000-0005-0000-0000-000029000000}"/>
    <cellStyle name="Обычный 46" xfId="49" xr:uid="{00000000-0005-0000-0000-00002A000000}"/>
    <cellStyle name="Обычный 47" xfId="50" xr:uid="{00000000-0005-0000-0000-00002B000000}"/>
    <cellStyle name="Обычный 48" xfId="51" xr:uid="{00000000-0005-0000-0000-00002C000000}"/>
    <cellStyle name="Обычный 49" xfId="52" xr:uid="{00000000-0005-0000-0000-00002D000000}"/>
    <cellStyle name="Обычный 5" xfId="3" xr:uid="{00000000-0005-0000-0000-00002E000000}"/>
    <cellStyle name="Обычный 50" xfId="53" xr:uid="{00000000-0005-0000-0000-00002F000000}"/>
    <cellStyle name="Обычный 51" xfId="54" xr:uid="{00000000-0005-0000-0000-000030000000}"/>
    <cellStyle name="Обычный 52" xfId="55" xr:uid="{00000000-0005-0000-0000-000031000000}"/>
    <cellStyle name="Обычный 53" xfId="56" xr:uid="{00000000-0005-0000-0000-000032000000}"/>
    <cellStyle name="Обычный 54" xfId="57" xr:uid="{00000000-0005-0000-0000-000033000000}"/>
    <cellStyle name="Обычный 55" xfId="58" xr:uid="{00000000-0005-0000-0000-000034000000}"/>
    <cellStyle name="Обычный 56" xfId="59" xr:uid="{00000000-0005-0000-0000-000035000000}"/>
    <cellStyle name="Обычный 57" xfId="60" xr:uid="{00000000-0005-0000-0000-000036000000}"/>
    <cellStyle name="Обычный 58" xfId="61" xr:uid="{00000000-0005-0000-0000-000037000000}"/>
    <cellStyle name="Обычный 58 2" xfId="79" xr:uid="{00000000-0005-0000-0000-000038000000}"/>
    <cellStyle name="Обычный 59" xfId="62" xr:uid="{00000000-0005-0000-0000-000039000000}"/>
    <cellStyle name="Обычный 6" xfId="7" xr:uid="{00000000-0005-0000-0000-00003A000000}"/>
    <cellStyle name="Обычный 60" xfId="63" xr:uid="{00000000-0005-0000-0000-00003B000000}"/>
    <cellStyle name="Обычный 61" xfId="64" xr:uid="{00000000-0005-0000-0000-00003C000000}"/>
    <cellStyle name="Обычный 62" xfId="65" xr:uid="{00000000-0005-0000-0000-00003D000000}"/>
    <cellStyle name="Обычный 63" xfId="66" xr:uid="{00000000-0005-0000-0000-00003E000000}"/>
    <cellStyle name="Обычный 64" xfId="67" xr:uid="{00000000-0005-0000-0000-00003F000000}"/>
    <cellStyle name="Обычный 65" xfId="68" xr:uid="{00000000-0005-0000-0000-000040000000}"/>
    <cellStyle name="Обычный 66" xfId="69" xr:uid="{00000000-0005-0000-0000-000041000000}"/>
    <cellStyle name="Обычный 67" xfId="70" xr:uid="{00000000-0005-0000-0000-000042000000}"/>
    <cellStyle name="Обычный 68" xfId="71" xr:uid="{00000000-0005-0000-0000-000043000000}"/>
    <cellStyle name="Обычный 69" xfId="72" xr:uid="{00000000-0005-0000-0000-000044000000}"/>
    <cellStyle name="Обычный 7" xfId="5" xr:uid="{00000000-0005-0000-0000-000045000000}"/>
    <cellStyle name="Обычный 70" xfId="73" xr:uid="{00000000-0005-0000-0000-000046000000}"/>
    <cellStyle name="Обычный 71" xfId="74" xr:uid="{00000000-0005-0000-0000-000047000000}"/>
    <cellStyle name="Обычный 72" xfId="75" xr:uid="{00000000-0005-0000-0000-000048000000}"/>
    <cellStyle name="Обычный 73" xfId="76" xr:uid="{00000000-0005-0000-0000-000049000000}"/>
    <cellStyle name="Обычный 74" xfId="77" xr:uid="{00000000-0005-0000-0000-00004A000000}"/>
    <cellStyle name="Обычный 75" xfId="78" xr:uid="{00000000-0005-0000-0000-00004B000000}"/>
    <cellStyle name="Обычный 76" xfId="80" xr:uid="{00000000-0005-0000-0000-00004C000000}"/>
    <cellStyle name="Обычный 77" xfId="81" xr:uid="{00000000-0005-0000-0000-00004D000000}"/>
    <cellStyle name="Обычный 78" xfId="82" xr:uid="{00000000-0005-0000-0000-00004E000000}"/>
    <cellStyle name="Обычный 8" xfId="8" xr:uid="{00000000-0005-0000-0000-00004F000000}"/>
    <cellStyle name="Обычный 9" xfId="9" xr:uid="{00000000-0005-0000-0000-000050000000}"/>
    <cellStyle name="Финансовый" xfId="33" builtinId="3"/>
    <cellStyle name="Финансовый 2" xfId="6" xr:uid="{00000000-0005-0000-0000-00005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F0"/>
    <pageSetUpPr fitToPage="1"/>
  </sheetPr>
  <dimension ref="A1:AC468"/>
  <sheetViews>
    <sheetView tabSelected="1" view="pageBreakPreview" topLeftCell="A329" zoomScale="60" zoomScaleNormal="60" workbookViewId="0">
      <selection activeCell="G358" sqref="G358"/>
    </sheetView>
  </sheetViews>
  <sheetFormatPr baseColWidth="10" defaultColWidth="8.83203125" defaultRowHeight="15"/>
  <cols>
    <col min="1" max="1" width="16.83203125" customWidth="1"/>
    <col min="2" max="2" width="18.5" customWidth="1"/>
    <col min="3" max="3" width="25.5" style="14" customWidth="1"/>
    <col min="4" max="4" width="28.5" style="14" customWidth="1"/>
    <col min="5" max="5" width="22.33203125" customWidth="1"/>
    <col min="6" max="6" width="15.6640625" customWidth="1"/>
    <col min="7" max="7" width="16.6640625" style="19" customWidth="1"/>
    <col min="8" max="8" width="16.5" style="19" customWidth="1"/>
    <col min="9" max="9" width="15" style="79" customWidth="1"/>
    <col min="10" max="10" width="15.33203125" customWidth="1"/>
    <col min="11" max="11" width="16.5" customWidth="1"/>
    <col min="12" max="12" width="16.83203125" style="19" customWidth="1"/>
    <col min="13" max="13" width="20.83203125" style="105" customWidth="1"/>
    <col min="14" max="15" width="24.5" customWidth="1"/>
    <col min="16" max="16" width="24" customWidth="1"/>
    <col min="17" max="17" width="19.1640625" style="59" customWidth="1"/>
    <col min="18" max="18" width="22.5" customWidth="1"/>
    <col min="19" max="19" width="23.33203125" customWidth="1"/>
    <col min="20" max="20" width="21.5" customWidth="1"/>
    <col min="21" max="21" width="42.83203125" customWidth="1"/>
    <col min="22" max="22" width="19.33203125" customWidth="1"/>
    <col min="23" max="23" width="12.5" bestFit="1" customWidth="1"/>
    <col min="24" max="24" width="13.83203125" bestFit="1" customWidth="1"/>
    <col min="25" max="25" width="12.5" bestFit="1" customWidth="1"/>
    <col min="26" max="26" width="13.83203125" bestFit="1" customWidth="1"/>
    <col min="29" max="29" width="10.33203125" bestFit="1" customWidth="1"/>
  </cols>
  <sheetData>
    <row r="1" spans="1:29" ht="18">
      <c r="A1" s="600" t="s">
        <v>1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1"/>
      <c r="O1" s="1"/>
    </row>
    <row r="2" spans="1:29" ht="18">
      <c r="A2" s="599"/>
      <c r="B2" s="599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2"/>
      <c r="O2" s="2"/>
      <c r="T2" s="15"/>
      <c r="V2" s="15"/>
    </row>
    <row r="3" spans="1:29" ht="18">
      <c r="A3" s="3"/>
      <c r="B3" s="3"/>
      <c r="C3" s="595"/>
      <c r="D3" s="595"/>
      <c r="E3" s="3"/>
      <c r="F3" s="3"/>
      <c r="G3" s="595"/>
      <c r="H3" s="595"/>
      <c r="I3" s="3"/>
      <c r="J3" s="3"/>
      <c r="K3" s="3"/>
      <c r="L3" s="30"/>
      <c r="M3" s="3"/>
      <c r="N3" s="4"/>
      <c r="O3" s="4"/>
      <c r="P3" s="34"/>
      <c r="R3" s="34"/>
      <c r="S3" s="34"/>
      <c r="T3" s="34"/>
      <c r="U3" s="34"/>
      <c r="V3" s="35"/>
      <c r="W3" s="34"/>
      <c r="X3" s="34"/>
      <c r="Y3" s="34"/>
      <c r="Z3" s="34"/>
      <c r="AA3" s="34"/>
    </row>
    <row r="4" spans="1:29" ht="18">
      <c r="A4" s="599"/>
      <c r="B4" s="599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2"/>
      <c r="O4" s="2"/>
      <c r="P4" s="53"/>
      <c r="Q4" s="60"/>
      <c r="R4" s="34"/>
      <c r="S4" s="34"/>
      <c r="T4" s="34"/>
      <c r="U4" s="34"/>
      <c r="V4" s="35"/>
      <c r="W4" s="34"/>
      <c r="X4" s="34"/>
      <c r="Y4" s="34"/>
      <c r="Z4" s="34"/>
      <c r="AA4" s="34"/>
    </row>
    <row r="5" spans="1:29" ht="18">
      <c r="A5" s="3"/>
      <c r="B5" s="3"/>
      <c r="C5" s="595"/>
      <c r="D5" s="595"/>
      <c r="E5" s="3"/>
      <c r="F5" s="3"/>
      <c r="G5" s="595"/>
      <c r="H5" s="595"/>
      <c r="I5" s="3"/>
      <c r="J5" s="3"/>
      <c r="K5" s="3"/>
      <c r="L5" s="30"/>
      <c r="M5" s="3"/>
      <c r="N5" s="4"/>
      <c r="O5" s="4"/>
      <c r="P5" s="53"/>
      <c r="Q5" s="60"/>
      <c r="R5" s="34"/>
      <c r="S5" s="34"/>
      <c r="T5" s="34"/>
      <c r="U5" s="34"/>
      <c r="V5" s="35"/>
      <c r="W5" s="34"/>
      <c r="X5" s="34"/>
      <c r="Y5" s="34"/>
      <c r="Z5" s="34"/>
      <c r="AA5" s="34"/>
    </row>
    <row r="6" spans="1:29" ht="18">
      <c r="A6" s="5"/>
      <c r="B6" s="5"/>
      <c r="C6" s="18"/>
      <c r="D6" s="18"/>
      <c r="E6" s="596"/>
      <c r="F6" s="596"/>
      <c r="G6" s="27"/>
      <c r="H6" s="27"/>
      <c r="I6" s="7"/>
      <c r="J6" s="6"/>
      <c r="K6" s="6"/>
      <c r="L6" s="31"/>
      <c r="M6" s="7"/>
      <c r="P6" s="54"/>
      <c r="Q6" s="60"/>
      <c r="R6" s="34"/>
      <c r="S6" s="34"/>
      <c r="T6" s="57"/>
      <c r="U6" s="34"/>
      <c r="V6" s="35"/>
      <c r="W6" s="34"/>
      <c r="X6" s="34"/>
      <c r="Y6" s="34"/>
      <c r="Z6" s="34"/>
      <c r="AA6" s="34"/>
    </row>
    <row r="7" spans="1:29" ht="21">
      <c r="A7" s="3"/>
      <c r="B7" s="595"/>
      <c r="C7" s="595"/>
      <c r="D7" s="126"/>
      <c r="E7" s="595"/>
      <c r="F7" s="595"/>
      <c r="G7" s="28"/>
      <c r="H7" s="28"/>
      <c r="I7" s="9"/>
      <c r="J7" s="3"/>
      <c r="K7" s="8"/>
      <c r="L7" s="32"/>
      <c r="M7" s="9"/>
      <c r="P7" s="52"/>
      <c r="Q7" s="56"/>
      <c r="R7" s="52"/>
      <c r="S7" s="34"/>
      <c r="T7" s="34"/>
      <c r="U7" s="34"/>
      <c r="V7" s="35"/>
      <c r="W7" s="34"/>
      <c r="X7" s="34"/>
      <c r="Y7" s="34"/>
      <c r="Z7" s="34"/>
      <c r="AA7" s="34"/>
    </row>
    <row r="8" spans="1:29" ht="18">
      <c r="A8" s="597"/>
      <c r="B8" s="597"/>
      <c r="C8" s="597"/>
      <c r="D8" s="597"/>
      <c r="E8" s="597"/>
      <c r="F8" s="598"/>
      <c r="G8" s="598"/>
      <c r="H8" s="598"/>
      <c r="I8" s="598"/>
      <c r="J8" s="5"/>
      <c r="K8" s="5"/>
      <c r="L8" s="68"/>
      <c r="M8" s="73"/>
      <c r="N8" s="4"/>
      <c r="O8" s="4"/>
      <c r="P8" s="49"/>
      <c r="Q8" s="56"/>
      <c r="R8" s="52"/>
      <c r="S8" s="50"/>
      <c r="T8" s="57"/>
      <c r="U8" s="57"/>
      <c r="V8" s="35"/>
      <c r="W8" s="34"/>
      <c r="X8" s="34"/>
      <c r="Y8" s="34"/>
      <c r="Z8" s="34"/>
      <c r="AA8" s="34"/>
      <c r="AC8" s="58"/>
    </row>
    <row r="9" spans="1:29" ht="18">
      <c r="A9" s="10"/>
      <c r="B9" s="10"/>
      <c r="C9" s="136"/>
      <c r="D9" s="136"/>
      <c r="E9" s="10"/>
      <c r="F9" s="10"/>
      <c r="G9" s="16"/>
      <c r="H9" s="16"/>
      <c r="I9" s="10"/>
      <c r="J9" s="10"/>
      <c r="K9" s="10"/>
      <c r="L9" s="16"/>
      <c r="M9" s="10"/>
      <c r="N9" s="11"/>
      <c r="O9" s="11"/>
      <c r="P9" s="34"/>
      <c r="R9" s="34"/>
      <c r="S9" s="34"/>
      <c r="T9" s="57"/>
      <c r="U9" s="57"/>
      <c r="V9" s="51"/>
      <c r="W9" s="34"/>
      <c r="X9" s="34"/>
      <c r="Y9" s="34"/>
      <c r="Z9" s="34"/>
      <c r="AA9" s="34"/>
      <c r="AC9" s="58"/>
    </row>
    <row r="10" spans="1:29" ht="112.5" customHeight="1">
      <c r="A10" s="47" t="s">
        <v>0</v>
      </c>
      <c r="B10" s="29" t="s">
        <v>2</v>
      </c>
      <c r="C10" s="29" t="s">
        <v>3</v>
      </c>
      <c r="D10" s="29" t="s">
        <v>52</v>
      </c>
      <c r="E10" s="12" t="s">
        <v>4</v>
      </c>
      <c r="F10" s="13" t="s">
        <v>5</v>
      </c>
      <c r="G10" s="29" t="s">
        <v>6</v>
      </c>
      <c r="H10" s="29" t="s">
        <v>7</v>
      </c>
      <c r="I10" s="12" t="s">
        <v>8</v>
      </c>
      <c r="J10" s="12" t="s">
        <v>9</v>
      </c>
      <c r="K10" s="12" t="s">
        <v>10</v>
      </c>
      <c r="L10" s="29" t="s">
        <v>11</v>
      </c>
      <c r="M10" s="29" t="s">
        <v>12</v>
      </c>
      <c r="P10" s="37" t="s">
        <v>33</v>
      </c>
      <c r="Q10" s="37" t="s">
        <v>13</v>
      </c>
      <c r="R10" s="37" t="s">
        <v>14</v>
      </c>
      <c r="S10" s="51"/>
      <c r="T10" s="34"/>
      <c r="U10" s="34"/>
      <c r="V10" s="36"/>
      <c r="W10" s="36"/>
      <c r="X10" s="36"/>
      <c r="Y10" s="36"/>
      <c r="Z10" s="36"/>
      <c r="AA10" s="34"/>
    </row>
    <row r="11" spans="1:29" s="62" customFormat="1" ht="18" customHeight="1">
      <c r="A11" s="285">
        <v>1</v>
      </c>
      <c r="B11" s="238">
        <v>1539</v>
      </c>
      <c r="C11" s="286"/>
      <c r="D11" s="286"/>
      <c r="E11" s="245"/>
      <c r="F11" s="169" t="s">
        <v>187</v>
      </c>
      <c r="G11" s="193" t="str">
        <f t="shared" ref="G11" si="0">RIGHT(F11,5)</f>
        <v>03:09</v>
      </c>
      <c r="H11" s="243" t="s">
        <v>276</v>
      </c>
      <c r="I11" s="184" t="s">
        <v>15</v>
      </c>
      <c r="J11" s="169" t="s">
        <v>188</v>
      </c>
      <c r="K11" s="193" t="str">
        <f t="shared" ref="K11" si="1">RIGHT(J11,5)</f>
        <v>04:09</v>
      </c>
      <c r="L11" s="184" t="str">
        <f t="shared" ref="L11" si="2">H11</f>
        <v>№519</v>
      </c>
      <c r="M11" s="191">
        <f t="shared" ref="M11" si="3">(J11-F11)*24</f>
        <v>1.0000000001164153</v>
      </c>
      <c r="N11" s="573" t="s">
        <v>1210</v>
      </c>
      <c r="O11" s="574">
        <f>SUMIF(A:A,"*в работоспособном состоянии*",E:E)</f>
        <v>48108.733333332173</v>
      </c>
      <c r="P11" s="169" t="s">
        <v>186</v>
      </c>
      <c r="Q11" s="185">
        <f t="shared" ref="Q11" si="4">(F11-P11)*24</f>
        <v>3.3833333333604969</v>
      </c>
      <c r="R11" s="192">
        <f>Q11-1</f>
        <v>2.3833333333604969</v>
      </c>
      <c r="S11" s="63"/>
      <c r="V11" s="64"/>
      <c r="W11" s="64"/>
      <c r="X11" s="64"/>
      <c r="Y11" s="64"/>
      <c r="Z11" s="64"/>
      <c r="AA11" s="64"/>
      <c r="AB11" s="64"/>
    </row>
    <row r="12" spans="1:29" s="62" customFormat="1" ht="18" customHeight="1">
      <c r="A12" s="363">
        <v>2</v>
      </c>
      <c r="B12" s="238">
        <v>1539</v>
      </c>
      <c r="C12" s="364"/>
      <c r="D12" s="364"/>
      <c r="E12" s="365"/>
      <c r="F12" s="169" t="s">
        <v>422</v>
      </c>
      <c r="G12" s="193" t="str">
        <f t="shared" ref="G12" si="5">RIGHT(F12,5)</f>
        <v>12:44</v>
      </c>
      <c r="H12" s="243" t="s">
        <v>538</v>
      </c>
      <c r="I12" s="184" t="s">
        <v>15</v>
      </c>
      <c r="J12" s="169" t="s">
        <v>423</v>
      </c>
      <c r="K12" s="193" t="str">
        <f t="shared" ref="K12" si="6">RIGHT(J12,5)</f>
        <v>13:53</v>
      </c>
      <c r="L12" s="184" t="str">
        <f>H12</f>
        <v>№566</v>
      </c>
      <c r="M12" s="191">
        <f t="shared" ref="M12" si="7">(J12-F12)*24</f>
        <v>1.1500000000814907</v>
      </c>
      <c r="N12" s="573" t="s">
        <v>1211</v>
      </c>
      <c r="O12" s="575">
        <f>SUMIF(A:A,"*ВСЕГО*",D:D)</f>
        <v>1764236</v>
      </c>
      <c r="P12" s="169" t="s">
        <v>421</v>
      </c>
      <c r="Q12" s="185">
        <f t="shared" ref="Q12" si="8">(F12-P12)*24</f>
        <v>3.0499999999883585</v>
      </c>
      <c r="R12" s="192">
        <f>Q12-1</f>
        <v>2.0499999999883585</v>
      </c>
      <c r="S12" s="63"/>
      <c r="V12" s="64"/>
      <c r="W12" s="64"/>
      <c r="X12" s="64"/>
      <c r="Y12" s="64"/>
      <c r="Z12" s="64"/>
      <c r="AA12" s="64"/>
      <c r="AB12" s="64"/>
    </row>
    <row r="13" spans="1:29" s="62" customFormat="1" ht="18" customHeight="1">
      <c r="A13" s="447">
        <v>3</v>
      </c>
      <c r="B13" s="238">
        <v>1539</v>
      </c>
      <c r="C13" s="448"/>
      <c r="D13" s="448"/>
      <c r="E13" s="449"/>
      <c r="F13" s="169" t="s">
        <v>565</v>
      </c>
      <c r="G13" s="193" t="str">
        <f t="shared" ref="G13" si="9">RIGHT(F13,5)</f>
        <v>22:33</v>
      </c>
      <c r="H13" s="243" t="s">
        <v>697</v>
      </c>
      <c r="I13" s="184" t="s">
        <v>15</v>
      </c>
      <c r="J13" s="169" t="s">
        <v>566</v>
      </c>
      <c r="K13" s="193" t="str">
        <f t="shared" ref="K13" si="10">RIGHT(J13,5)</f>
        <v>23:49</v>
      </c>
      <c r="L13" s="184" t="str">
        <f>H13</f>
        <v>№626</v>
      </c>
      <c r="M13" s="191">
        <f t="shared" ref="M13" si="11">(J13-F13)*24</f>
        <v>1.2666666666045785</v>
      </c>
      <c r="N13" s="573" t="s">
        <v>1212</v>
      </c>
      <c r="O13" s="575">
        <f>SUMIF(A:A,"*в Обслуживании:*",E:E)</f>
        <v>689.63333333440823</v>
      </c>
      <c r="P13" s="169" t="s">
        <v>564</v>
      </c>
      <c r="Q13" s="185">
        <f t="shared" ref="Q13" si="12">(F13-P13)*24</f>
        <v>3.8166666667093523</v>
      </c>
      <c r="R13" s="192">
        <f>Q13-1</f>
        <v>2.8166666667093523</v>
      </c>
      <c r="S13" s="63"/>
      <c r="V13" s="64"/>
      <c r="W13" s="64"/>
      <c r="X13" s="64"/>
      <c r="Y13" s="64"/>
      <c r="Z13" s="64"/>
      <c r="AA13" s="64"/>
      <c r="AB13" s="64"/>
    </row>
    <row r="14" spans="1:29" s="62" customFormat="1" ht="18" customHeight="1" thickBot="1">
      <c r="A14" s="496">
        <v>4</v>
      </c>
      <c r="B14" s="238">
        <v>1539</v>
      </c>
      <c r="C14" s="497"/>
      <c r="D14" s="497"/>
      <c r="E14" s="498"/>
      <c r="F14" s="169" t="s">
        <v>960</v>
      </c>
      <c r="G14" s="193" t="str">
        <f t="shared" ref="G14" si="13">RIGHT(F14,5)</f>
        <v>04:10</v>
      </c>
      <c r="H14" s="243" t="s">
        <v>981</v>
      </c>
      <c r="I14" s="184" t="s">
        <v>15</v>
      </c>
      <c r="J14" s="169" t="s">
        <v>961</v>
      </c>
      <c r="K14" s="193" t="str">
        <f t="shared" ref="K14" si="14">RIGHT(J14,5)</f>
        <v>05:27</v>
      </c>
      <c r="L14" s="184" t="str">
        <f>H14</f>
        <v>№682</v>
      </c>
      <c r="M14" s="191">
        <f t="shared" ref="M14" si="15">(J14-F14)*24</f>
        <v>1.2833333333255723</v>
      </c>
      <c r="N14" s="573" t="s">
        <v>51</v>
      </c>
      <c r="O14" s="575"/>
      <c r="P14" s="169" t="s">
        <v>959</v>
      </c>
      <c r="Q14" s="185">
        <f t="shared" ref="Q14" si="16">(F14-P14)*24</f>
        <v>9.2666666666627862</v>
      </c>
      <c r="R14" s="192">
        <f>Q14-1</f>
        <v>8.2666666666627862</v>
      </c>
      <c r="S14" s="63"/>
      <c r="V14" s="64"/>
      <c r="W14" s="64"/>
      <c r="X14" s="64"/>
      <c r="Y14" s="64"/>
      <c r="Z14" s="64"/>
      <c r="AA14" s="64"/>
      <c r="AB14" s="64"/>
    </row>
    <row r="15" spans="1:29" s="62" customFormat="1" ht="18" customHeight="1" thickBot="1">
      <c r="A15" s="123" t="s">
        <v>16</v>
      </c>
      <c r="B15" s="124"/>
      <c r="C15" s="166">
        <f>Пробеги!E20</f>
        <v>13892</v>
      </c>
      <c r="D15" s="167">
        <f>C15*2</f>
        <v>27784</v>
      </c>
      <c r="E15" s="168">
        <f>DAY(EOMONTH($S$427,0))*24-M15-R15</f>
        <v>723.78333333315095</v>
      </c>
      <c r="F15" s="107"/>
      <c r="G15" s="108"/>
      <c r="H15" s="107"/>
      <c r="I15" s="124"/>
      <c r="J15" s="107"/>
      <c r="K15" s="107"/>
      <c r="L15" s="107"/>
      <c r="M15" s="168">
        <f>SUM(M11:M14)</f>
        <v>4.7000000001280569</v>
      </c>
      <c r="N15" s="575" t="s">
        <v>1213</v>
      </c>
      <c r="O15" s="575">
        <f>SUMIF(A:A,"*в Обслуживании гарантийном*",E:E)</f>
        <v>50.383333333244082</v>
      </c>
      <c r="P15" s="171"/>
      <c r="Q15" s="170">
        <f>SUM(Q11:Q14)</f>
        <v>19.516666666720994</v>
      </c>
      <c r="R15" s="170">
        <f>SUM(R11:R14)</f>
        <v>15.516666666720994</v>
      </c>
      <c r="S15" s="211"/>
      <c r="T15" s="75"/>
      <c r="V15" s="64"/>
      <c r="W15" s="64"/>
      <c r="X15" s="64"/>
      <c r="Y15" s="64"/>
      <c r="Z15" s="64"/>
      <c r="AA15" s="64"/>
      <c r="AB15" s="64"/>
    </row>
    <row r="16" spans="1:29" s="62" customFormat="1" ht="18" customHeight="1">
      <c r="A16" s="237">
        <v>1</v>
      </c>
      <c r="B16" s="238">
        <v>1540</v>
      </c>
      <c r="C16" s="239"/>
      <c r="D16" s="239"/>
      <c r="E16" s="184"/>
      <c r="F16" s="179" t="s">
        <v>56</v>
      </c>
      <c r="G16" s="180" t="str">
        <f t="shared" ref="G16" si="17">RIGHT(F16,5)</f>
        <v>09:24</v>
      </c>
      <c r="H16" s="243" t="s">
        <v>120</v>
      </c>
      <c r="I16" s="184" t="s">
        <v>15</v>
      </c>
      <c r="J16" s="179" t="s">
        <v>57</v>
      </c>
      <c r="K16" s="180" t="str">
        <f t="shared" ref="K16" si="18">RIGHT(J16,5)</f>
        <v>10:29</v>
      </c>
      <c r="L16" s="243" t="str">
        <f>H16</f>
        <v>№476</v>
      </c>
      <c r="M16" s="182">
        <f t="shared" ref="M16" si="19">(J16-F16)*24</f>
        <v>1.0833333331975155</v>
      </c>
      <c r="N16" s="575" t="s">
        <v>1214</v>
      </c>
      <c r="O16" s="574">
        <f>SUMIF(A:A,"*в ожидании ТО-2*",E:E)+V52+V51</f>
        <v>745.93333333323244</v>
      </c>
      <c r="P16" s="179" t="s">
        <v>55</v>
      </c>
      <c r="Q16" s="185">
        <f t="shared" ref="Q16" si="20">(F16-P16)*24</f>
        <v>3.4166666668024845</v>
      </c>
      <c r="R16" s="183">
        <f>Q16-1</f>
        <v>2.4166666668024845</v>
      </c>
      <c r="S16" s="74"/>
      <c r="T16" s="75"/>
      <c r="V16" s="64"/>
      <c r="W16" s="64"/>
      <c r="X16" s="64"/>
      <c r="Y16" s="64"/>
      <c r="Z16" s="64"/>
      <c r="AA16" s="64"/>
      <c r="AB16" s="64"/>
    </row>
    <row r="17" spans="1:28" s="62" customFormat="1" ht="18" customHeight="1">
      <c r="A17" s="287">
        <v>2</v>
      </c>
      <c r="B17" s="238">
        <v>1540</v>
      </c>
      <c r="C17" s="288"/>
      <c r="D17" s="288"/>
      <c r="E17" s="289"/>
      <c r="F17" s="179" t="s">
        <v>190</v>
      </c>
      <c r="G17" s="180" t="str">
        <f t="shared" ref="G17:G23" si="21">RIGHT(F17,5)</f>
        <v>11:33</v>
      </c>
      <c r="H17" s="243" t="s">
        <v>277</v>
      </c>
      <c r="I17" s="184" t="s">
        <v>15</v>
      </c>
      <c r="J17" s="179" t="s">
        <v>192</v>
      </c>
      <c r="K17" s="180" t="str">
        <f t="shared" ref="K17:K23" si="22">RIGHT(J17,5)</f>
        <v>13:14</v>
      </c>
      <c r="L17" s="243" t="str">
        <f t="shared" ref="L17:L18" si="23">H17</f>
        <v>№527</v>
      </c>
      <c r="M17" s="182">
        <f t="shared" ref="M17:M19" si="24">(J17-F17)*24</f>
        <v>1.683333333407063</v>
      </c>
      <c r="N17" s="573" t="s">
        <v>1215</v>
      </c>
      <c r="O17" s="576">
        <f>0.95</f>
        <v>0.95</v>
      </c>
      <c r="P17" s="179" t="s">
        <v>189</v>
      </c>
      <c r="Q17" s="185">
        <f t="shared" ref="Q17:Q18" si="25">(F17-P17)*24</f>
        <v>5.3666666665230878</v>
      </c>
      <c r="R17" s="183">
        <f>Q17-1</f>
        <v>4.3666666665230878</v>
      </c>
      <c r="S17" s="74"/>
      <c r="T17" s="75"/>
      <c r="V17" s="64"/>
      <c r="W17" s="64"/>
      <c r="X17" s="64"/>
      <c r="Y17" s="64"/>
      <c r="Z17" s="64"/>
      <c r="AA17" s="64"/>
      <c r="AB17" s="64"/>
    </row>
    <row r="18" spans="1:28" s="62" customFormat="1" ht="18" customHeight="1">
      <c r="A18" s="287">
        <v>3</v>
      </c>
      <c r="B18" s="238">
        <v>1540</v>
      </c>
      <c r="C18" s="288"/>
      <c r="D18" s="288"/>
      <c r="E18" s="289"/>
      <c r="F18" s="169" t="s">
        <v>191</v>
      </c>
      <c r="G18" s="193" t="str">
        <f t="shared" si="21"/>
        <v>13:15</v>
      </c>
      <c r="H18" s="243" t="s">
        <v>492</v>
      </c>
      <c r="I18" s="184" t="s">
        <v>51</v>
      </c>
      <c r="J18" s="169" t="s">
        <v>193</v>
      </c>
      <c r="K18" s="193" t="str">
        <f t="shared" si="22"/>
        <v>18:40</v>
      </c>
      <c r="L18" s="184" t="str">
        <f t="shared" si="23"/>
        <v>№220</v>
      </c>
      <c r="M18" s="191">
        <f t="shared" si="24"/>
        <v>5.4166666666860692</v>
      </c>
      <c r="N18" s="574" t="s">
        <v>1216</v>
      </c>
      <c r="O18" s="574"/>
      <c r="P18" s="169" t="s">
        <v>191</v>
      </c>
      <c r="Q18" s="185">
        <f t="shared" si="25"/>
        <v>0</v>
      </c>
      <c r="R18" s="384">
        <f>Q18</f>
        <v>0</v>
      </c>
      <c r="S18" s="74"/>
      <c r="T18" s="75"/>
      <c r="V18" s="64"/>
      <c r="W18" s="64"/>
      <c r="X18" s="64"/>
      <c r="Y18" s="64"/>
      <c r="Z18" s="64"/>
      <c r="AA18" s="64"/>
      <c r="AB18" s="64"/>
    </row>
    <row r="19" spans="1:28" s="62" customFormat="1" ht="18" customHeight="1">
      <c r="A19" s="368">
        <v>4</v>
      </c>
      <c r="B19" s="238">
        <v>1540</v>
      </c>
      <c r="C19" s="369"/>
      <c r="D19" s="369"/>
      <c r="E19" s="366"/>
      <c r="F19" s="169" t="s">
        <v>425</v>
      </c>
      <c r="G19" s="193" t="str">
        <f t="shared" ref="G19:G20" si="26">RIGHT(F19,5)</f>
        <v>10:17</v>
      </c>
      <c r="H19" s="243" t="s">
        <v>477</v>
      </c>
      <c r="I19" s="184" t="s">
        <v>138</v>
      </c>
      <c r="J19" s="169" t="s">
        <v>426</v>
      </c>
      <c r="K19" s="193" t="str">
        <f t="shared" ref="K19:K20" si="27">RIGHT(J19,5)</f>
        <v>20:28</v>
      </c>
      <c r="L19" s="184" t="str">
        <f>H19</f>
        <v>№33</v>
      </c>
      <c r="M19" s="191">
        <f t="shared" si="24"/>
        <v>10.183333333348855</v>
      </c>
      <c r="N19" s="577" t="s">
        <v>1217</v>
      </c>
      <c r="O19" s="577">
        <f>E300</f>
        <v>0</v>
      </c>
      <c r="P19" s="169" t="s">
        <v>424</v>
      </c>
      <c r="Q19" s="185">
        <v>11.800000000046566</v>
      </c>
      <c r="R19" s="192">
        <f>Q19-Q19</f>
        <v>0</v>
      </c>
      <c r="S19" s="74"/>
      <c r="T19" s="75"/>
      <c r="V19" s="64"/>
      <c r="W19" s="64"/>
      <c r="X19" s="64"/>
      <c r="Y19" s="64"/>
      <c r="Z19" s="64"/>
      <c r="AA19" s="64"/>
      <c r="AB19" s="64"/>
    </row>
    <row r="20" spans="1:28" s="62" customFormat="1" ht="18" customHeight="1" thickBot="1">
      <c r="A20" s="464">
        <v>5</v>
      </c>
      <c r="B20" s="238">
        <v>1540</v>
      </c>
      <c r="C20" s="465"/>
      <c r="D20" s="465"/>
      <c r="E20" s="466"/>
      <c r="F20" s="179" t="s">
        <v>753</v>
      </c>
      <c r="G20" s="180" t="str">
        <f t="shared" si="26"/>
        <v>03:30</v>
      </c>
      <c r="H20" s="243" t="s">
        <v>776</v>
      </c>
      <c r="I20" s="184" t="s">
        <v>15</v>
      </c>
      <c r="J20" s="179" t="s">
        <v>754</v>
      </c>
      <c r="K20" s="180" t="str">
        <f t="shared" si="27"/>
        <v>04:47</v>
      </c>
      <c r="L20" s="243" t="str">
        <f t="shared" ref="L20" si="28">H20</f>
        <v>№637</v>
      </c>
      <c r="M20" s="182">
        <f t="shared" ref="M20" si="29">(J20-F20)*24</f>
        <v>1.2833333333255723</v>
      </c>
      <c r="N20" s="574" t="s">
        <v>1218</v>
      </c>
      <c r="O20" s="577">
        <f>X322</f>
        <v>0</v>
      </c>
      <c r="P20" s="179" t="s">
        <v>752</v>
      </c>
      <c r="Q20" s="185">
        <f t="shared" ref="Q20" si="30">(F20-P20)*24</f>
        <v>5.6333333333604969</v>
      </c>
      <c r="R20" s="183">
        <f>Q20-1</f>
        <v>4.6333333333604969</v>
      </c>
      <c r="S20" s="74"/>
      <c r="T20" s="75"/>
      <c r="V20" s="64"/>
      <c r="W20" s="64"/>
      <c r="X20" s="64"/>
      <c r="Y20" s="64"/>
      <c r="Z20" s="64"/>
      <c r="AA20" s="64"/>
      <c r="AB20" s="64"/>
    </row>
    <row r="21" spans="1:28" s="62" customFormat="1" ht="19" thickBot="1">
      <c r="A21" s="123" t="s">
        <v>16</v>
      </c>
      <c r="B21" s="240"/>
      <c r="C21" s="166">
        <f>Пробеги!E22</f>
        <v>12849</v>
      </c>
      <c r="D21" s="167">
        <f>C21*2</f>
        <v>25698</v>
      </c>
      <c r="E21" s="168">
        <f>DAY(EOMONTH($S$427,0))*24-M21-R21</f>
        <v>712.93333333334886</v>
      </c>
      <c r="F21" s="107"/>
      <c r="G21" s="108"/>
      <c r="H21" s="107"/>
      <c r="I21" s="107"/>
      <c r="J21" s="107"/>
      <c r="K21" s="107"/>
      <c r="L21" s="107"/>
      <c r="M21" s="168">
        <f>SUM(M16:M20)</f>
        <v>19.649999999965075</v>
      </c>
      <c r="N21" s="61"/>
      <c r="P21" s="171"/>
      <c r="Q21" s="170">
        <f>SUM(Q16:Q20)</f>
        <v>26.216666666732635</v>
      </c>
      <c r="R21" s="186">
        <f>SUM(R16:R20)</f>
        <v>11.416666666686069</v>
      </c>
      <c r="V21" s="64"/>
      <c r="W21" s="64"/>
      <c r="X21" s="64"/>
      <c r="Y21" s="64"/>
      <c r="Z21" s="64"/>
      <c r="AA21" s="64"/>
      <c r="AB21" s="64"/>
    </row>
    <row r="22" spans="1:28" s="62" customFormat="1" ht="18" customHeight="1">
      <c r="A22" s="189">
        <v>1</v>
      </c>
      <c r="B22" s="190">
        <v>1541</v>
      </c>
      <c r="C22" s="239"/>
      <c r="D22" s="239"/>
      <c r="E22" s="191"/>
      <c r="F22" s="169" t="s">
        <v>195</v>
      </c>
      <c r="G22" s="193" t="str">
        <f t="shared" si="21"/>
        <v>07:42</v>
      </c>
      <c r="H22" s="243" t="s">
        <v>314</v>
      </c>
      <c r="I22" s="184" t="s">
        <v>138</v>
      </c>
      <c r="J22" s="169" t="s">
        <v>196</v>
      </c>
      <c r="K22" s="193" t="str">
        <f t="shared" si="22"/>
        <v>19:30</v>
      </c>
      <c r="L22" s="184" t="str">
        <f>H22</f>
        <v>№28</v>
      </c>
      <c r="M22" s="191">
        <f t="shared" ref="M22:M28" si="31">(J22-F22)*24</f>
        <v>11.800000000046566</v>
      </c>
      <c r="N22" s="61"/>
      <c r="P22" s="169" t="s">
        <v>194</v>
      </c>
      <c r="Q22" s="185">
        <v>11.800000000046566</v>
      </c>
      <c r="R22" s="192">
        <f>Q22-Q22</f>
        <v>0</v>
      </c>
      <c r="S22" s="63"/>
      <c r="V22" s="64"/>
      <c r="W22" s="64"/>
      <c r="X22" s="64"/>
      <c r="Y22" s="64"/>
      <c r="Z22" s="64"/>
      <c r="AA22" s="64"/>
      <c r="AB22" s="64"/>
    </row>
    <row r="23" spans="1:28" s="62" customFormat="1" ht="18" customHeight="1">
      <c r="A23" s="405">
        <v>2</v>
      </c>
      <c r="B23" s="190">
        <v>1541</v>
      </c>
      <c r="C23" s="406"/>
      <c r="D23" s="406"/>
      <c r="E23" s="407"/>
      <c r="F23" s="169" t="s">
        <v>508</v>
      </c>
      <c r="G23" s="193" t="str">
        <f t="shared" si="21"/>
        <v>16:05</v>
      </c>
      <c r="H23" s="243" t="s">
        <v>534</v>
      </c>
      <c r="I23" s="184" t="s">
        <v>15</v>
      </c>
      <c r="J23" s="169" t="s">
        <v>509</v>
      </c>
      <c r="K23" s="193" t="str">
        <f t="shared" si="22"/>
        <v>17:13</v>
      </c>
      <c r="L23" s="184" t="str">
        <f t="shared" ref="L23" si="32">H23</f>
        <v>№576</v>
      </c>
      <c r="M23" s="191">
        <f t="shared" ref="M23" si="33">(J23-F23)*24</f>
        <v>1.1333333333604969</v>
      </c>
      <c r="N23" s="61"/>
      <c r="P23" s="169" t="s">
        <v>510</v>
      </c>
      <c r="Q23" s="185">
        <f t="shared" ref="Q23" si="34">(F23-P23)*24</f>
        <v>54.450000000069849</v>
      </c>
      <c r="R23" s="192">
        <v>0</v>
      </c>
      <c r="S23" s="63"/>
      <c r="V23" s="64"/>
      <c r="W23" s="64"/>
      <c r="X23" s="64"/>
      <c r="Y23" s="64"/>
      <c r="Z23" s="64"/>
      <c r="AA23" s="64"/>
      <c r="AB23" s="64"/>
    </row>
    <row r="24" spans="1:28" s="62" customFormat="1" ht="18" customHeight="1">
      <c r="A24" s="451">
        <v>3</v>
      </c>
      <c r="B24" s="190">
        <v>1541</v>
      </c>
      <c r="C24" s="448"/>
      <c r="D24" s="448"/>
      <c r="E24" s="450"/>
      <c r="F24" s="169" t="s">
        <v>568</v>
      </c>
      <c r="G24" s="193" t="str">
        <f t="shared" ref="G24:G25" si="35">RIGHT(F24,5)</f>
        <v>04:05</v>
      </c>
      <c r="H24" s="243" t="s">
        <v>714</v>
      </c>
      <c r="I24" s="184" t="s">
        <v>15</v>
      </c>
      <c r="J24" s="169" t="s">
        <v>569</v>
      </c>
      <c r="K24" s="193" t="str">
        <f t="shared" ref="K24:K25" si="36">RIGHT(J24,5)</f>
        <v>05:10</v>
      </c>
      <c r="L24" s="184" t="str">
        <f t="shared" ref="L24:L25" si="37">H24</f>
        <v>№629</v>
      </c>
      <c r="M24" s="191">
        <f t="shared" ref="M24:M25" si="38">(J24-F24)*24</f>
        <v>1.0833333333721384</v>
      </c>
      <c r="N24" s="61"/>
      <c r="P24" s="452" t="s">
        <v>567</v>
      </c>
      <c r="Q24" s="453">
        <f t="shared" ref="Q24:Q25" si="39">(F24-P24)*24</f>
        <v>3.6166666667559184</v>
      </c>
      <c r="R24" s="454">
        <f>Q24-1</f>
        <v>2.6166666667559184</v>
      </c>
      <c r="S24" s="63"/>
      <c r="V24" s="64"/>
      <c r="W24" s="64"/>
      <c r="X24" s="64"/>
      <c r="Y24" s="64"/>
      <c r="Z24" s="64"/>
      <c r="AA24" s="64"/>
      <c r="AB24" s="64"/>
    </row>
    <row r="25" spans="1:28" s="62" customFormat="1" ht="18" customHeight="1" thickBot="1">
      <c r="A25" s="514">
        <v>4</v>
      </c>
      <c r="B25" s="190">
        <v>1541</v>
      </c>
      <c r="C25" s="518"/>
      <c r="D25" s="518"/>
      <c r="E25" s="517"/>
      <c r="F25" s="169" t="s">
        <v>1003</v>
      </c>
      <c r="G25" s="193" t="str">
        <f t="shared" si="35"/>
        <v>18:13</v>
      </c>
      <c r="H25" s="243" t="s">
        <v>997</v>
      </c>
      <c r="I25" s="184" t="s">
        <v>51</v>
      </c>
      <c r="J25" s="169" t="s">
        <v>1004</v>
      </c>
      <c r="K25" s="193" t="str">
        <f t="shared" si="36"/>
        <v>20:15</v>
      </c>
      <c r="L25" s="520" t="str">
        <f t="shared" si="37"/>
        <v>№276</v>
      </c>
      <c r="M25" s="458">
        <f t="shared" si="38"/>
        <v>2.0333333333255723</v>
      </c>
      <c r="N25" s="61"/>
      <c r="P25" s="452" t="s">
        <v>998</v>
      </c>
      <c r="Q25" s="453">
        <f t="shared" si="39"/>
        <v>10.466666666732635</v>
      </c>
      <c r="R25" s="523">
        <v>0</v>
      </c>
      <c r="S25" s="63"/>
      <c r="V25" s="64"/>
      <c r="W25" s="64"/>
      <c r="X25" s="64"/>
      <c r="Y25" s="64"/>
      <c r="Z25" s="64"/>
      <c r="AA25" s="64"/>
      <c r="AB25" s="64"/>
    </row>
    <row r="26" spans="1:28" s="62" customFormat="1" ht="18" customHeight="1" thickBot="1">
      <c r="A26" s="123" t="s">
        <v>16</v>
      </c>
      <c r="B26" s="124"/>
      <c r="C26" s="166">
        <f>Пробеги!E24</f>
        <v>11384</v>
      </c>
      <c r="D26" s="167">
        <f>C26*2</f>
        <v>22768</v>
      </c>
      <c r="E26" s="168">
        <f>DAY(EOMONTH($S$427,0))*24-M26-R26</f>
        <v>725.33333333313931</v>
      </c>
      <c r="F26" s="107"/>
      <c r="G26" s="108"/>
      <c r="H26" s="107"/>
      <c r="I26" s="107"/>
      <c r="J26" s="107"/>
      <c r="K26" s="107"/>
      <c r="L26" s="521"/>
      <c r="M26" s="522">
        <f>SUM(M22:M25)</f>
        <v>16.050000000104774</v>
      </c>
      <c r="N26" s="61"/>
      <c r="P26" s="455"/>
      <c r="Q26" s="524">
        <f>SUM(Q22:Q25)</f>
        <v>80.333333333604969</v>
      </c>
      <c r="R26" s="524">
        <f>SUM(R22:R25)</f>
        <v>2.6166666667559184</v>
      </c>
      <c r="V26" s="64"/>
      <c r="W26" s="64"/>
      <c r="X26" s="64"/>
      <c r="Y26" s="64"/>
      <c r="Z26" s="64"/>
      <c r="AA26" s="64"/>
      <c r="AB26" s="64"/>
    </row>
    <row r="27" spans="1:28" s="62" customFormat="1" ht="18" customHeight="1">
      <c r="A27" s="189">
        <v>1</v>
      </c>
      <c r="B27" s="190">
        <v>1542</v>
      </c>
      <c r="C27" s="239"/>
      <c r="D27" s="239"/>
      <c r="E27" s="191"/>
      <c r="F27" s="169" t="s">
        <v>157</v>
      </c>
      <c r="G27" s="193" t="str">
        <f t="shared" ref="G27:G28" si="40">RIGHT(F27,5)</f>
        <v>14:13</v>
      </c>
      <c r="H27" s="243" t="s">
        <v>315</v>
      </c>
      <c r="I27" s="184" t="s">
        <v>138</v>
      </c>
      <c r="J27" s="169" t="s">
        <v>278</v>
      </c>
      <c r="K27" s="193" t="str">
        <f t="shared" ref="K27:K28" si="41">RIGHT(J27,5)</f>
        <v>21:54</v>
      </c>
      <c r="L27" s="184" t="str">
        <f t="shared" ref="L27:L28" si="42">H27</f>
        <v>№27</v>
      </c>
      <c r="M27" s="191">
        <f t="shared" si="31"/>
        <v>31.68333333323244</v>
      </c>
      <c r="N27" s="61"/>
      <c r="P27" s="169" t="s">
        <v>156</v>
      </c>
      <c r="Q27" s="185">
        <f t="shared" ref="Q27:Q28" si="43">(F27-P27)*24</f>
        <v>11.800000000046566</v>
      </c>
      <c r="R27" s="192">
        <f>Q27-Q27</f>
        <v>0</v>
      </c>
      <c r="S27" s="63"/>
      <c r="V27" s="64"/>
      <c r="W27" s="64"/>
      <c r="X27" s="64"/>
      <c r="Y27" s="64"/>
      <c r="Z27" s="64"/>
      <c r="AA27" s="64"/>
      <c r="AB27" s="64"/>
    </row>
    <row r="28" spans="1:28" s="62" customFormat="1" ht="18" customHeight="1">
      <c r="A28" s="360">
        <v>2</v>
      </c>
      <c r="B28" s="190">
        <v>1542</v>
      </c>
      <c r="C28" s="361"/>
      <c r="D28" s="361"/>
      <c r="E28" s="362"/>
      <c r="F28" s="169" t="s">
        <v>417</v>
      </c>
      <c r="G28" s="193" t="str">
        <f t="shared" si="40"/>
        <v>12:01</v>
      </c>
      <c r="H28" s="243" t="s">
        <v>480</v>
      </c>
      <c r="I28" s="184" t="s">
        <v>15</v>
      </c>
      <c r="J28" s="169" t="s">
        <v>427</v>
      </c>
      <c r="K28" s="193" t="str">
        <f t="shared" si="41"/>
        <v>13:14</v>
      </c>
      <c r="L28" s="184" t="str">
        <f t="shared" si="42"/>
        <v>№553</v>
      </c>
      <c r="M28" s="191">
        <f t="shared" si="31"/>
        <v>1.21666666661622</v>
      </c>
      <c r="N28" s="61"/>
      <c r="P28" s="169" t="s">
        <v>416</v>
      </c>
      <c r="Q28" s="185">
        <f t="shared" si="43"/>
        <v>3.5000000000582077</v>
      </c>
      <c r="R28" s="192">
        <f>Q28-1</f>
        <v>2.5000000000582077</v>
      </c>
      <c r="S28" s="63"/>
      <c r="V28" s="64"/>
      <c r="W28" s="64"/>
      <c r="X28" s="64"/>
      <c r="Y28" s="64"/>
      <c r="Z28" s="64"/>
      <c r="AA28" s="64"/>
      <c r="AB28" s="64"/>
    </row>
    <row r="29" spans="1:28" s="62" customFormat="1" ht="18" customHeight="1">
      <c r="A29" s="451">
        <v>3</v>
      </c>
      <c r="B29" s="190">
        <v>1542</v>
      </c>
      <c r="C29" s="448"/>
      <c r="D29" s="448"/>
      <c r="E29" s="450"/>
      <c r="F29" s="169" t="s">
        <v>571</v>
      </c>
      <c r="G29" s="193" t="str">
        <f t="shared" ref="G29" si="44">RIGHT(F29,5)</f>
        <v>23:31</v>
      </c>
      <c r="H29" s="243" t="s">
        <v>715</v>
      </c>
      <c r="I29" s="184" t="s">
        <v>15</v>
      </c>
      <c r="J29" s="169" t="s">
        <v>572</v>
      </c>
      <c r="K29" s="193" t="str">
        <f t="shared" ref="K29" si="45">RIGHT(J29,5)</f>
        <v>00:40</v>
      </c>
      <c r="L29" s="184" t="str">
        <f t="shared" ref="L29" si="46">H29</f>
        <v>№602</v>
      </c>
      <c r="M29" s="191">
        <f t="shared" ref="M29" si="47">(J29-F29)*24</f>
        <v>1.1500000000814907</v>
      </c>
      <c r="N29" s="61"/>
      <c r="P29" s="169" t="s">
        <v>570</v>
      </c>
      <c r="Q29" s="185">
        <f t="shared" ref="Q29" si="48">(F29-P29)*24</f>
        <v>1.2500000000582077</v>
      </c>
      <c r="R29" s="192">
        <f>Q29-1</f>
        <v>0.25000000005820766</v>
      </c>
      <c r="S29" s="63"/>
      <c r="V29" s="64"/>
      <c r="W29" s="64"/>
      <c r="X29" s="64"/>
      <c r="Y29" s="64"/>
      <c r="Z29" s="64"/>
      <c r="AA29" s="64"/>
      <c r="AB29" s="64"/>
    </row>
    <row r="30" spans="1:28" s="62" customFormat="1" ht="18" customHeight="1" thickBot="1">
      <c r="A30" s="486">
        <v>4</v>
      </c>
      <c r="B30" s="487">
        <v>1542</v>
      </c>
      <c r="C30" s="488"/>
      <c r="D30" s="488"/>
      <c r="E30" s="489"/>
      <c r="F30" s="169" t="s">
        <v>863</v>
      </c>
      <c r="G30" s="193" t="str">
        <f t="shared" ref="G30" si="49">RIGHT(F30,5)</f>
        <v>22:48</v>
      </c>
      <c r="H30" s="243" t="s">
        <v>936</v>
      </c>
      <c r="I30" s="184" t="s">
        <v>15</v>
      </c>
      <c r="J30" s="169" t="s">
        <v>864</v>
      </c>
      <c r="K30" s="193" t="str">
        <f t="shared" ref="K30" si="50">RIGHT(J30,5)</f>
        <v>23:58</v>
      </c>
      <c r="L30" s="184" t="str">
        <f t="shared" ref="L30" si="51">H30</f>
        <v>№660</v>
      </c>
      <c r="M30" s="191">
        <f t="shared" ref="M30" si="52">(J30-F30)*24</f>
        <v>1.1666666668024845</v>
      </c>
      <c r="N30" s="61"/>
      <c r="P30" s="169" t="s">
        <v>862</v>
      </c>
      <c r="Q30" s="185">
        <f t="shared" ref="Q30" si="53">(F30-P30)*24</f>
        <v>6.3833333331858739</v>
      </c>
      <c r="R30" s="192">
        <f>Q30-1</f>
        <v>5.3833333331858739</v>
      </c>
      <c r="S30" s="63"/>
      <c r="V30" s="64"/>
      <c r="W30" s="64"/>
      <c r="X30" s="64"/>
      <c r="Y30" s="64"/>
      <c r="Z30" s="64"/>
      <c r="AA30" s="64"/>
      <c r="AB30" s="64"/>
    </row>
    <row r="31" spans="1:28" s="62" customFormat="1" ht="18" customHeight="1" thickBot="1">
      <c r="A31" s="123" t="s">
        <v>16</v>
      </c>
      <c r="B31" s="124"/>
      <c r="C31" s="166">
        <f>Пробеги!E26</f>
        <v>13461</v>
      </c>
      <c r="D31" s="167">
        <f>C31*2</f>
        <v>26922</v>
      </c>
      <c r="E31" s="168">
        <f>DAY(EOMONTH($S$427,0))*24-M31-R31</f>
        <v>700.64999999996508</v>
      </c>
      <c r="F31" s="109"/>
      <c r="G31" s="108"/>
      <c r="H31" s="107"/>
      <c r="I31" s="107"/>
      <c r="J31" s="107"/>
      <c r="K31" s="107"/>
      <c r="L31" s="107"/>
      <c r="M31" s="168">
        <f>SUM(M27:M30)</f>
        <v>35.216666666732635</v>
      </c>
      <c r="N31" s="61"/>
      <c r="P31" s="188"/>
      <c r="Q31" s="170">
        <f>SUM(Q27:Q30)</f>
        <v>22.933333333348855</v>
      </c>
      <c r="R31" s="170">
        <f>SUM(R27:R30)</f>
        <v>8.1333333333022892</v>
      </c>
      <c r="S31" s="63"/>
      <c r="V31" s="64"/>
      <c r="W31" s="64"/>
      <c r="X31" s="64"/>
      <c r="Y31" s="64"/>
      <c r="Z31" s="64"/>
      <c r="AA31" s="64"/>
      <c r="AB31" s="64"/>
    </row>
    <row r="32" spans="1:28" s="62" customFormat="1" ht="18" customHeight="1">
      <c r="A32" s="258">
        <v>1</v>
      </c>
      <c r="B32" s="190">
        <v>1543</v>
      </c>
      <c r="C32" s="259"/>
      <c r="D32" s="259"/>
      <c r="E32" s="260"/>
      <c r="F32" s="169" t="s">
        <v>129</v>
      </c>
      <c r="G32" s="193" t="str">
        <f t="shared" ref="G32" si="54">RIGHT(F32,5)</f>
        <v>16:30</v>
      </c>
      <c r="H32" s="243" t="s">
        <v>279</v>
      </c>
      <c r="I32" s="184" t="s">
        <v>15</v>
      </c>
      <c r="J32" s="169" t="s">
        <v>130</v>
      </c>
      <c r="K32" s="193" t="str">
        <f t="shared" ref="K32" si="55">RIGHT(J32,5)</f>
        <v>17:54</v>
      </c>
      <c r="L32" s="184" t="str">
        <f t="shared" ref="L32" si="56">H32</f>
        <v>№489</v>
      </c>
      <c r="M32" s="191">
        <f t="shared" ref="M32" si="57">(J32-F32)*24</f>
        <v>1.4000000000232831</v>
      </c>
      <c r="N32" s="61"/>
      <c r="P32" s="169" t="s">
        <v>128</v>
      </c>
      <c r="Q32" s="185">
        <f t="shared" ref="Q32" si="58">(F32-P32)*24</f>
        <v>6.3499999999185093</v>
      </c>
      <c r="R32" s="192">
        <f>Q32-1</f>
        <v>5.3499999999185093</v>
      </c>
      <c r="S32" s="63"/>
      <c r="V32" s="64"/>
      <c r="W32" s="64"/>
      <c r="X32" s="64"/>
      <c r="Y32" s="64"/>
      <c r="Z32" s="64"/>
      <c r="AA32" s="64"/>
      <c r="AB32" s="64"/>
    </row>
    <row r="33" spans="1:28" s="62" customFormat="1" ht="18" customHeight="1">
      <c r="A33" s="344">
        <v>2</v>
      </c>
      <c r="B33" s="190">
        <v>1543</v>
      </c>
      <c r="C33" s="345"/>
      <c r="D33" s="345"/>
      <c r="E33" s="346"/>
      <c r="F33" s="169" t="s">
        <v>344</v>
      </c>
      <c r="G33" s="193" t="str">
        <f t="shared" ref="G33" si="59">RIGHT(F33,5)</f>
        <v>03:24</v>
      </c>
      <c r="H33" s="243" t="s">
        <v>392</v>
      </c>
      <c r="I33" s="184" t="s">
        <v>15</v>
      </c>
      <c r="J33" s="169" t="s">
        <v>345</v>
      </c>
      <c r="K33" s="193" t="str">
        <f t="shared" ref="K33" si="60">RIGHT(J33,5)</f>
        <v>04:27</v>
      </c>
      <c r="L33" s="184" t="str">
        <f t="shared" ref="L33" si="61">H33</f>
        <v>№545</v>
      </c>
      <c r="M33" s="191">
        <f t="shared" ref="M33" si="62">(J33-F33)*24</f>
        <v>1.0499999999301508</v>
      </c>
      <c r="N33" s="61"/>
      <c r="P33" s="169" t="s">
        <v>343</v>
      </c>
      <c r="Q33" s="185">
        <f t="shared" ref="Q33" si="63">(F33-P33)*24</f>
        <v>3.8000000001629815</v>
      </c>
      <c r="R33" s="192">
        <f>Q33-1</f>
        <v>2.8000000001629815</v>
      </c>
      <c r="S33" s="63"/>
      <c r="V33" s="64"/>
      <c r="W33" s="64"/>
      <c r="X33" s="64"/>
      <c r="Y33" s="64"/>
      <c r="Z33" s="64"/>
      <c r="AA33" s="64"/>
      <c r="AB33" s="64"/>
    </row>
    <row r="34" spans="1:28" s="62" customFormat="1" ht="18" customHeight="1">
      <c r="A34" s="451">
        <v>3</v>
      </c>
      <c r="B34" s="190">
        <v>1543</v>
      </c>
      <c r="C34" s="448"/>
      <c r="D34" s="448"/>
      <c r="E34" s="450"/>
      <c r="F34" s="169" t="s">
        <v>574</v>
      </c>
      <c r="G34" s="193" t="str">
        <f t="shared" ref="G34" si="64">RIGHT(F34,5)</f>
        <v>22:05</v>
      </c>
      <c r="H34" s="243" t="s">
        <v>698</v>
      </c>
      <c r="I34" s="184" t="s">
        <v>15</v>
      </c>
      <c r="J34" s="169" t="s">
        <v>575</v>
      </c>
      <c r="K34" s="193" t="str">
        <f t="shared" ref="K34" si="65">RIGHT(J34,5)</f>
        <v>23:05</v>
      </c>
      <c r="L34" s="184" t="str">
        <f t="shared" ref="L34" si="66">H34</f>
        <v>№597</v>
      </c>
      <c r="M34" s="191">
        <f t="shared" ref="M34" si="67">(J34-F34)*24</f>
        <v>0.99999999994179234</v>
      </c>
      <c r="N34" s="61"/>
      <c r="P34" s="169" t="s">
        <v>573</v>
      </c>
      <c r="Q34" s="185">
        <f t="shared" ref="Q34" si="68">(F34-P34)*24</f>
        <v>5.4833333333954215</v>
      </c>
      <c r="R34" s="192">
        <f>Q34-1</f>
        <v>4.4833333333954215</v>
      </c>
      <c r="S34" s="63"/>
      <c r="V34" s="64"/>
      <c r="W34" s="64"/>
      <c r="X34" s="64"/>
      <c r="Y34" s="64"/>
      <c r="Z34" s="64"/>
      <c r="AA34" s="64"/>
      <c r="AB34" s="64"/>
    </row>
    <row r="35" spans="1:28" s="62" customFormat="1" ht="18" customHeight="1" thickBot="1">
      <c r="A35" s="486">
        <v>4</v>
      </c>
      <c r="B35" s="190">
        <v>1543</v>
      </c>
      <c r="C35" s="488"/>
      <c r="D35" s="488"/>
      <c r="E35" s="489"/>
      <c r="F35" s="169" t="s">
        <v>866</v>
      </c>
      <c r="G35" s="193" t="str">
        <f t="shared" ref="G35" si="69">RIGHT(F35,5)</f>
        <v>20:13</v>
      </c>
      <c r="H35" s="243" t="s">
        <v>937</v>
      </c>
      <c r="I35" s="184" t="s">
        <v>15</v>
      </c>
      <c r="J35" s="169" t="s">
        <v>867</v>
      </c>
      <c r="K35" s="193" t="str">
        <f t="shared" ref="K35" si="70">RIGHT(J35,5)</f>
        <v>21:22</v>
      </c>
      <c r="L35" s="184" t="str">
        <f t="shared" ref="L35" si="71">H35</f>
        <v>№658</v>
      </c>
      <c r="M35" s="191">
        <f t="shared" ref="M35" si="72">(J35-F35)*24</f>
        <v>1.1499999999068677</v>
      </c>
      <c r="N35" s="61"/>
      <c r="P35" s="169" t="s">
        <v>865</v>
      </c>
      <c r="Q35" s="185">
        <f t="shared" ref="Q35" si="73">(F35-P35)*24</f>
        <v>7.1666666668024845</v>
      </c>
      <c r="R35" s="192">
        <f>Q35-1</f>
        <v>6.1666666668024845</v>
      </c>
      <c r="S35" s="63"/>
      <c r="V35" s="64"/>
      <c r="W35" s="64"/>
      <c r="X35" s="64"/>
      <c r="Y35" s="64"/>
      <c r="Z35" s="64"/>
      <c r="AA35" s="64"/>
      <c r="AB35" s="64"/>
    </row>
    <row r="36" spans="1:28" s="62" customFormat="1" ht="18" customHeight="1" thickBot="1">
      <c r="A36" s="123" t="s">
        <v>16</v>
      </c>
      <c r="B36" s="124"/>
      <c r="C36" s="166">
        <f>Пробеги!E28</f>
        <v>13668</v>
      </c>
      <c r="D36" s="167">
        <f>C36*2</f>
        <v>27336</v>
      </c>
      <c r="E36" s="168">
        <f>DAY(EOMONTH($S$427,0))*24-M36-R36</f>
        <v>720.59999999991851</v>
      </c>
      <c r="F36" s="109"/>
      <c r="G36" s="108"/>
      <c r="H36" s="107"/>
      <c r="I36" s="107"/>
      <c r="J36" s="107"/>
      <c r="K36" s="107"/>
      <c r="L36" s="107"/>
      <c r="M36" s="168">
        <f>SUM(M32:M35)</f>
        <v>4.599999999802094</v>
      </c>
      <c r="N36" s="61"/>
      <c r="P36" s="188"/>
      <c r="Q36" s="170">
        <f>SUM(Q32:Q35)</f>
        <v>22.800000000279397</v>
      </c>
      <c r="R36" s="170">
        <f>SUM(R32:R35)</f>
        <v>18.800000000279397</v>
      </c>
    </row>
    <row r="37" spans="1:28" s="62" customFormat="1" ht="18" customHeight="1">
      <c r="A37" s="194">
        <v>1</v>
      </c>
      <c r="B37" s="279">
        <v>1544</v>
      </c>
      <c r="C37" s="291"/>
      <c r="D37" s="291"/>
      <c r="E37" s="207"/>
      <c r="F37" s="169" t="s">
        <v>198</v>
      </c>
      <c r="G37" s="193" t="str">
        <f t="shared" ref="G37:G38" si="74">RIGHT(F37,5)</f>
        <v>21:01</v>
      </c>
      <c r="H37" s="243" t="s">
        <v>280</v>
      </c>
      <c r="I37" s="184" t="s">
        <v>15</v>
      </c>
      <c r="J37" s="169" t="s">
        <v>199</v>
      </c>
      <c r="K37" s="193" t="str">
        <f t="shared" ref="K37:K38" si="75">RIGHT(J37,5)</f>
        <v>22:02</v>
      </c>
      <c r="L37" s="184" t="str">
        <f t="shared" ref="L37:L38" si="76">H37</f>
        <v>№517</v>
      </c>
      <c r="M37" s="191">
        <f t="shared" ref="M37:M38" si="77">(J37-F37)*24</f>
        <v>1.0166666666627862</v>
      </c>
      <c r="N37" s="61"/>
      <c r="P37" s="169" t="s">
        <v>197</v>
      </c>
      <c r="Q37" s="185">
        <f t="shared" ref="Q37" si="78">(F37-P37)*24</f>
        <v>4.3166666667675599</v>
      </c>
      <c r="R37" s="192">
        <f>Q37-1</f>
        <v>3.3166666667675599</v>
      </c>
      <c r="S37" s="63"/>
      <c r="V37" s="64"/>
      <c r="W37" s="64"/>
      <c r="X37" s="64"/>
      <c r="Y37" s="64"/>
      <c r="Z37" s="64"/>
      <c r="AA37" s="64"/>
      <c r="AB37" s="64"/>
    </row>
    <row r="38" spans="1:28" s="62" customFormat="1" ht="18" customHeight="1">
      <c r="A38" s="352">
        <v>2</v>
      </c>
      <c r="B38" s="279">
        <v>1544</v>
      </c>
      <c r="C38" s="353"/>
      <c r="D38" s="353"/>
      <c r="E38" s="354"/>
      <c r="F38" s="169" t="s">
        <v>370</v>
      </c>
      <c r="G38" s="193" t="str">
        <f t="shared" si="74"/>
        <v>11:46</v>
      </c>
      <c r="H38" s="243" t="s">
        <v>391</v>
      </c>
      <c r="I38" s="184" t="s">
        <v>369</v>
      </c>
      <c r="J38" s="169" t="s">
        <v>481</v>
      </c>
      <c r="K38" s="193" t="str">
        <f t="shared" si="75"/>
        <v>18:58</v>
      </c>
      <c r="L38" s="184" t="str">
        <f t="shared" si="76"/>
        <v>№7</v>
      </c>
      <c r="M38" s="191">
        <f t="shared" si="77"/>
        <v>55.200000000069849</v>
      </c>
      <c r="N38" s="61"/>
      <c r="P38" s="169" t="s">
        <v>371</v>
      </c>
      <c r="Q38" s="185">
        <v>11.800000000046566</v>
      </c>
      <c r="R38" s="192">
        <f>Q38-Q38</f>
        <v>0</v>
      </c>
      <c r="S38" s="63"/>
      <c r="V38" s="64"/>
      <c r="W38" s="64"/>
      <c r="X38" s="64"/>
      <c r="Y38" s="64"/>
      <c r="Z38" s="64"/>
      <c r="AA38" s="64"/>
      <c r="AB38" s="64"/>
    </row>
    <row r="39" spans="1:28" s="62" customFormat="1" ht="18" customHeight="1" thickBot="1">
      <c r="A39" s="451">
        <v>3</v>
      </c>
      <c r="B39" s="279">
        <v>1544</v>
      </c>
      <c r="C39" s="448"/>
      <c r="D39" s="448"/>
      <c r="E39" s="450"/>
      <c r="F39" s="169" t="s">
        <v>577</v>
      </c>
      <c r="G39" s="193" t="str">
        <f t="shared" ref="G39" si="79">RIGHT(F39,5)</f>
        <v>03:04</v>
      </c>
      <c r="H39" s="243" t="s">
        <v>699</v>
      </c>
      <c r="I39" s="184" t="s">
        <v>15</v>
      </c>
      <c r="J39" s="169" t="s">
        <v>578</v>
      </c>
      <c r="K39" s="193" t="str">
        <f t="shared" ref="K39" si="80">RIGHT(J39,5)</f>
        <v>04:14</v>
      </c>
      <c r="L39" s="184" t="str">
        <f t="shared" ref="L39" si="81">H39</f>
        <v>№618</v>
      </c>
      <c r="M39" s="191">
        <f t="shared" ref="M39" si="82">(J39-F39)*24</f>
        <v>1.1666666666278616</v>
      </c>
      <c r="N39" s="61"/>
      <c r="P39" s="169" t="s">
        <v>576</v>
      </c>
      <c r="Q39" s="185">
        <f t="shared" ref="Q39" si="83">(F39-P39)*24</f>
        <v>13.000000000116415</v>
      </c>
      <c r="R39" s="192">
        <f>Q39-1</f>
        <v>12.000000000116415</v>
      </c>
      <c r="S39" s="63"/>
      <c r="V39" s="64"/>
      <c r="W39" s="64"/>
      <c r="X39" s="64"/>
      <c r="Y39" s="64"/>
      <c r="Z39" s="64"/>
      <c r="AA39" s="64"/>
      <c r="AB39" s="64"/>
    </row>
    <row r="40" spans="1:28" s="62" customFormat="1" ht="18" customHeight="1" thickBot="1">
      <c r="A40" s="123" t="s">
        <v>16</v>
      </c>
      <c r="B40" s="124"/>
      <c r="C40" s="166">
        <f>Пробеги!E30</f>
        <v>11468</v>
      </c>
      <c r="D40" s="167">
        <f>C40*2</f>
        <v>22936</v>
      </c>
      <c r="E40" s="168">
        <f>DAY(EOMONTH($S$427,0))*24-M40-R40</f>
        <v>671.29999999975553</v>
      </c>
      <c r="F40" s="109"/>
      <c r="G40" s="108"/>
      <c r="H40" s="262"/>
      <c r="I40" s="124"/>
      <c r="J40" s="124"/>
      <c r="K40" s="124"/>
      <c r="L40" s="124"/>
      <c r="M40" s="168">
        <f>SUM(M37:M39)</f>
        <v>57.383333333360497</v>
      </c>
      <c r="N40" s="61"/>
      <c r="P40" s="188"/>
      <c r="Q40" s="170">
        <f>SUM(Q37:Q39)</f>
        <v>29.116666666930541</v>
      </c>
      <c r="R40" s="170">
        <f>SUM(R37:R39)</f>
        <v>15.316666666883975</v>
      </c>
    </row>
    <row r="41" spans="1:28" s="62" customFormat="1" ht="18" customHeight="1">
      <c r="A41" s="87"/>
      <c r="B41" s="84"/>
      <c r="C41" s="84"/>
      <c r="D41" s="88"/>
      <c r="E41" s="89"/>
      <c r="F41" s="83"/>
      <c r="G41" s="85"/>
      <c r="H41" s="84"/>
      <c r="I41" s="84"/>
      <c r="J41" s="84"/>
      <c r="K41" s="84"/>
      <c r="L41" s="84"/>
      <c r="M41" s="89"/>
      <c r="N41" s="61"/>
      <c r="P41" s="90"/>
      <c r="Q41" s="91"/>
      <c r="R41" s="91"/>
    </row>
    <row r="42" spans="1:28" s="62" customFormat="1" ht="18" customHeight="1">
      <c r="A42" s="87"/>
      <c r="B42" s="84"/>
      <c r="C42" s="84"/>
      <c r="D42" s="88"/>
      <c r="E42" s="89"/>
      <c r="F42" s="83"/>
      <c r="G42" s="85"/>
      <c r="H42" s="84"/>
      <c r="I42" s="84"/>
      <c r="J42" s="84"/>
      <c r="K42" s="84"/>
      <c r="L42" s="580" t="s">
        <v>1203</v>
      </c>
      <c r="M42" s="580"/>
      <c r="N42" s="61"/>
      <c r="P42" s="90"/>
      <c r="Q42" s="91"/>
      <c r="R42" s="91"/>
    </row>
    <row r="43" spans="1:28" s="62" customFormat="1" ht="18" customHeight="1">
      <c r="A43" s="189">
        <v>1</v>
      </c>
      <c r="B43" s="190">
        <v>1545</v>
      </c>
      <c r="C43" s="239"/>
      <c r="D43" s="239"/>
      <c r="E43" s="191"/>
      <c r="F43" s="169" t="s">
        <v>200</v>
      </c>
      <c r="G43" s="193" t="str">
        <f t="shared" ref="G43:G44" si="84">RIGHT(F43,5)</f>
        <v>03:02</v>
      </c>
      <c r="H43" s="243" t="s">
        <v>493</v>
      </c>
      <c r="I43" s="184" t="s">
        <v>51</v>
      </c>
      <c r="J43" s="169" t="s">
        <v>201</v>
      </c>
      <c r="K43" s="193" t="str">
        <f t="shared" ref="K43:K44" si="85">RIGHT(J43,5)</f>
        <v>16:28</v>
      </c>
      <c r="L43" s="184" t="str">
        <f t="shared" ref="L43:L44" si="86">H43</f>
        <v>№208</v>
      </c>
      <c r="M43" s="191">
        <f t="shared" ref="M43:M44" si="87">(J43-F43)*24</f>
        <v>13.433333333465271</v>
      </c>
      <c r="N43" s="61"/>
      <c r="P43" s="169" t="s">
        <v>202</v>
      </c>
      <c r="Q43" s="185">
        <f t="shared" ref="Q43:Q44" si="88">(F43-P43)*24</f>
        <v>8.0333333333255723</v>
      </c>
      <c r="R43" s="192">
        <f>Q43</f>
        <v>8.0333333333255723</v>
      </c>
      <c r="S43" s="63"/>
      <c r="V43" s="64"/>
      <c r="W43" s="64"/>
      <c r="X43" s="64"/>
      <c r="Y43" s="64"/>
      <c r="Z43" s="64"/>
      <c r="AA43" s="64"/>
      <c r="AB43" s="64"/>
    </row>
    <row r="44" spans="1:28" s="62" customFormat="1" ht="18" customHeight="1">
      <c r="A44" s="349">
        <v>2</v>
      </c>
      <c r="B44" s="190">
        <v>1545</v>
      </c>
      <c r="C44" s="350"/>
      <c r="D44" s="350"/>
      <c r="E44" s="348"/>
      <c r="F44" s="169" t="s">
        <v>347</v>
      </c>
      <c r="G44" s="193" t="str">
        <f t="shared" si="84"/>
        <v>18:39</v>
      </c>
      <c r="H44" s="243" t="s">
        <v>393</v>
      </c>
      <c r="I44" s="184" t="s">
        <v>15</v>
      </c>
      <c r="J44" s="169" t="s">
        <v>348</v>
      </c>
      <c r="K44" s="193" t="str">
        <f t="shared" si="85"/>
        <v>19:52</v>
      </c>
      <c r="L44" s="184" t="str">
        <f t="shared" si="86"/>
        <v>№542</v>
      </c>
      <c r="M44" s="191">
        <f t="shared" si="87"/>
        <v>1.21666666661622</v>
      </c>
      <c r="N44" s="61"/>
      <c r="P44" s="169" t="s">
        <v>346</v>
      </c>
      <c r="Q44" s="185">
        <f t="shared" si="88"/>
        <v>0.26666666666278616</v>
      </c>
      <c r="R44" s="192">
        <f>Q44-Q44</f>
        <v>0</v>
      </c>
      <c r="S44" s="63"/>
      <c r="V44" s="64"/>
      <c r="W44" s="64"/>
      <c r="X44" s="64"/>
      <c r="Y44" s="64"/>
      <c r="Z44" s="64"/>
      <c r="AA44" s="64"/>
      <c r="AB44" s="64"/>
    </row>
    <row r="45" spans="1:28" s="62" customFormat="1" ht="18" customHeight="1" thickBot="1">
      <c r="A45" s="451">
        <v>3</v>
      </c>
      <c r="B45" s="190">
        <v>1545</v>
      </c>
      <c r="C45" s="448"/>
      <c r="D45" s="448"/>
      <c r="E45" s="450"/>
      <c r="F45" s="169" t="s">
        <v>580</v>
      </c>
      <c r="G45" s="193" t="str">
        <f t="shared" ref="G45" si="89">RIGHT(F45,5)</f>
        <v>11:06</v>
      </c>
      <c r="H45" s="243" t="s">
        <v>716</v>
      </c>
      <c r="I45" s="184" t="s">
        <v>15</v>
      </c>
      <c r="J45" s="169" t="s">
        <v>581</v>
      </c>
      <c r="K45" s="193" t="str">
        <f t="shared" ref="K45" si="90">RIGHT(J45,5)</f>
        <v>12:38</v>
      </c>
      <c r="L45" s="184" t="str">
        <f t="shared" ref="L45" si="91">H45</f>
        <v>№605</v>
      </c>
      <c r="M45" s="191">
        <f t="shared" ref="M45" si="92">(J45-F45)*24</f>
        <v>1.5333333332673647</v>
      </c>
      <c r="N45" s="61"/>
      <c r="P45" s="169" t="s">
        <v>579</v>
      </c>
      <c r="Q45" s="185">
        <f t="shared" ref="Q45" si="93">(F45-P45)*24</f>
        <v>0.45000000006984919</v>
      </c>
      <c r="R45" s="192">
        <f>Q45-Q45</f>
        <v>0</v>
      </c>
      <c r="S45" s="63"/>
      <c r="V45" s="64"/>
      <c r="W45" s="64"/>
      <c r="X45" s="64"/>
      <c r="Y45" s="64"/>
      <c r="Z45" s="64"/>
      <c r="AA45" s="64"/>
      <c r="AB45" s="64"/>
    </row>
    <row r="46" spans="1:28" s="62" customFormat="1" ht="18" customHeight="1" thickBot="1">
      <c r="A46" s="123" t="s">
        <v>16</v>
      </c>
      <c r="B46" s="124"/>
      <c r="C46" s="166">
        <f>Пробеги!E32</f>
        <v>13596</v>
      </c>
      <c r="D46" s="167">
        <f>C46*2</f>
        <v>27192</v>
      </c>
      <c r="E46" s="168">
        <f>DAY(EOMONTH($S$427,0))*24-M46-R46</f>
        <v>719.78333333332557</v>
      </c>
      <c r="F46" s="109"/>
      <c r="G46" s="108"/>
      <c r="H46" s="107"/>
      <c r="I46" s="107"/>
      <c r="J46" s="107"/>
      <c r="K46" s="107"/>
      <c r="L46" s="107"/>
      <c r="M46" s="168">
        <f>SUM(M43:M45)</f>
        <v>16.183333333348855</v>
      </c>
      <c r="N46" s="61"/>
      <c r="P46" s="188"/>
      <c r="Q46" s="170">
        <f>SUM(Q43:Q45)</f>
        <v>8.7500000000582077</v>
      </c>
      <c r="R46" s="170">
        <f>SUM(R43:R45)</f>
        <v>8.0333333333255723</v>
      </c>
    </row>
    <row r="47" spans="1:28" s="62" customFormat="1" ht="18" customHeight="1">
      <c r="A47" s="189">
        <v>1</v>
      </c>
      <c r="B47" s="190">
        <v>1546</v>
      </c>
      <c r="C47" s="239"/>
      <c r="D47" s="239"/>
      <c r="E47" s="191"/>
      <c r="F47" s="169" t="s">
        <v>89</v>
      </c>
      <c r="G47" s="193" t="str">
        <f t="shared" ref="G47" si="94">RIGHT(F47,5)</f>
        <v>22:25</v>
      </c>
      <c r="H47" s="243" t="s">
        <v>121</v>
      </c>
      <c r="I47" s="184" t="s">
        <v>15</v>
      </c>
      <c r="J47" s="169" t="s">
        <v>90</v>
      </c>
      <c r="K47" s="193" t="str">
        <f t="shared" ref="K47" si="95">RIGHT(J47,5)</f>
        <v>23:50</v>
      </c>
      <c r="L47" s="184" t="str">
        <f t="shared" ref="L47" si="96">H47</f>
        <v>№479</v>
      </c>
      <c r="M47" s="191">
        <f t="shared" ref="M47" si="97">(J47-F47)*24</f>
        <v>1.4166666665696539</v>
      </c>
      <c r="N47" s="61"/>
      <c r="P47" s="169" t="s">
        <v>88</v>
      </c>
      <c r="Q47" s="185">
        <f t="shared" ref="Q47" si="98">(F47-P47)*24</f>
        <v>1.5500000001629815</v>
      </c>
      <c r="R47" s="192">
        <f>Q47-1</f>
        <v>0.55000000016298145</v>
      </c>
      <c r="S47" s="63"/>
      <c r="V47" s="64"/>
      <c r="W47" s="64"/>
      <c r="X47" s="64"/>
      <c r="Y47" s="64"/>
      <c r="Z47" s="64"/>
      <c r="AA47" s="64"/>
      <c r="AB47" s="64"/>
    </row>
    <row r="48" spans="1:28" s="62" customFormat="1" ht="18" customHeight="1">
      <c r="A48" s="357">
        <v>2</v>
      </c>
      <c r="B48" s="190">
        <v>1546</v>
      </c>
      <c r="C48" s="358"/>
      <c r="D48" s="358"/>
      <c r="E48" s="356"/>
      <c r="F48" s="169" t="s">
        <v>373</v>
      </c>
      <c r="G48" s="193" t="str">
        <f t="shared" ref="G48" si="99">RIGHT(F48,5)</f>
        <v>13:51</v>
      </c>
      <c r="H48" s="243" t="s">
        <v>409</v>
      </c>
      <c r="I48" s="184" t="s">
        <v>15</v>
      </c>
      <c r="J48" s="169" t="s">
        <v>374</v>
      </c>
      <c r="K48" s="193" t="str">
        <f t="shared" ref="K48" si="100">RIGHT(J48,5)</f>
        <v>14:52</v>
      </c>
      <c r="L48" s="184" t="str">
        <f t="shared" ref="L48" si="101">H48</f>
        <v>№547</v>
      </c>
      <c r="M48" s="191">
        <f t="shared" ref="M48" si="102">(J48-F48)*24</f>
        <v>1.0166666666627862</v>
      </c>
      <c r="N48" s="61"/>
      <c r="P48" s="169" t="s">
        <v>372</v>
      </c>
      <c r="Q48" s="185">
        <f t="shared" ref="Q48" si="103">(F48-P48)*24</f>
        <v>0.78333333326736465</v>
      </c>
      <c r="R48" s="192">
        <f>Q48-Q48</f>
        <v>0</v>
      </c>
      <c r="S48" s="63"/>
      <c r="V48" s="64"/>
      <c r="W48" s="64"/>
      <c r="X48" s="64"/>
      <c r="Y48" s="64"/>
      <c r="Z48" s="64"/>
      <c r="AA48" s="64"/>
      <c r="AB48" s="64"/>
    </row>
    <row r="49" spans="1:28" s="62" customFormat="1" ht="18" customHeight="1" thickBot="1">
      <c r="A49" s="451">
        <v>3</v>
      </c>
      <c r="B49" s="190">
        <v>1546</v>
      </c>
      <c r="C49" s="448"/>
      <c r="D49" s="448"/>
      <c r="E49" s="450"/>
      <c r="F49" s="169" t="s">
        <v>583</v>
      </c>
      <c r="G49" s="193" t="str">
        <f t="shared" ref="G49" si="104">RIGHT(F49,5)</f>
        <v>03:05</v>
      </c>
      <c r="H49" s="243" t="s">
        <v>700</v>
      </c>
      <c r="I49" s="184" t="s">
        <v>15</v>
      </c>
      <c r="J49" s="169" t="s">
        <v>584</v>
      </c>
      <c r="K49" s="193" t="str">
        <f t="shared" ref="K49" si="105">RIGHT(J49,5)</f>
        <v>04:10</v>
      </c>
      <c r="L49" s="184" t="str">
        <f t="shared" ref="L49" si="106">H49</f>
        <v>№612</v>
      </c>
      <c r="M49" s="191">
        <f t="shared" ref="M49" si="107">(J49-F49)*24</f>
        <v>1.0833333333721384</v>
      </c>
      <c r="N49" s="61"/>
      <c r="P49" s="169" t="s">
        <v>582</v>
      </c>
      <c r="Q49" s="185">
        <f t="shared" ref="Q49" si="108">(F49-P49)*24</f>
        <v>0.63333333330228925</v>
      </c>
      <c r="R49" s="192">
        <f>Q49-Q49</f>
        <v>0</v>
      </c>
      <c r="S49" s="63"/>
      <c r="V49" s="64"/>
      <c r="W49" s="64"/>
      <c r="X49" s="64"/>
      <c r="Y49" s="64"/>
      <c r="Z49" s="64"/>
      <c r="AA49" s="64"/>
      <c r="AB49" s="64"/>
    </row>
    <row r="50" spans="1:28" s="62" customFormat="1" ht="18" customHeight="1" thickBot="1">
      <c r="A50" s="123" t="s">
        <v>16</v>
      </c>
      <c r="B50" s="124"/>
      <c r="C50" s="166">
        <f>Пробеги!E34</f>
        <v>13538</v>
      </c>
      <c r="D50" s="167">
        <f>C50*2</f>
        <v>27076</v>
      </c>
      <c r="E50" s="168">
        <f>DAY(EOMONTH($S$427,0))*24-M50-R50</f>
        <v>739.93333333323244</v>
      </c>
      <c r="F50" s="109"/>
      <c r="G50" s="108"/>
      <c r="H50" s="107"/>
      <c r="I50" s="107"/>
      <c r="J50" s="107"/>
      <c r="K50" s="107"/>
      <c r="L50" s="107"/>
      <c r="M50" s="168">
        <f>SUM(M47:M49)</f>
        <v>3.5166666666045785</v>
      </c>
      <c r="N50" s="61"/>
      <c r="P50" s="188"/>
      <c r="Q50" s="170">
        <f>SUM(Q47:Q49)</f>
        <v>2.9666666667326353</v>
      </c>
      <c r="R50" s="170">
        <f>SUM(R47:R49)</f>
        <v>0.55000000016298145</v>
      </c>
    </row>
    <row r="51" spans="1:28" s="62" customFormat="1" ht="18" customHeight="1">
      <c r="A51" s="258">
        <v>1</v>
      </c>
      <c r="B51" s="190">
        <v>1547</v>
      </c>
      <c r="C51" s="259"/>
      <c r="D51" s="259"/>
      <c r="E51" s="260"/>
      <c r="F51" s="169" t="s">
        <v>159</v>
      </c>
      <c r="G51" s="193" t="str">
        <f t="shared" ref="G51" si="109">RIGHT(F51,5)</f>
        <v>11:52</v>
      </c>
      <c r="H51" s="243" t="s">
        <v>281</v>
      </c>
      <c r="I51" s="184" t="s">
        <v>15</v>
      </c>
      <c r="J51" s="169" t="s">
        <v>160</v>
      </c>
      <c r="K51" s="193" t="str">
        <f t="shared" ref="K51" si="110">RIGHT(J51,5)</f>
        <v>13:20</v>
      </c>
      <c r="L51" s="184" t="str">
        <f t="shared" ref="L51" si="111">H51</f>
        <v>№496</v>
      </c>
      <c r="M51" s="191">
        <f t="shared" ref="M51" si="112">(J51-F51)*24</f>
        <v>1.4666666667326353</v>
      </c>
      <c r="N51" s="61"/>
      <c r="P51" s="169" t="s">
        <v>158</v>
      </c>
      <c r="Q51" s="185">
        <f t="shared" ref="Q51" si="113">(F51-P51)*24</f>
        <v>4.3333333333139308</v>
      </c>
      <c r="R51" s="192">
        <f>Q51-1</f>
        <v>3.3333333333139308</v>
      </c>
      <c r="S51" s="63"/>
      <c r="V51" s="64"/>
      <c r="W51" s="64"/>
      <c r="X51" s="64"/>
      <c r="Y51" s="64"/>
      <c r="Z51" s="64"/>
      <c r="AA51" s="64"/>
      <c r="AB51" s="64"/>
    </row>
    <row r="52" spans="1:28" s="62" customFormat="1" ht="18" customHeight="1">
      <c r="A52" s="370">
        <v>2</v>
      </c>
      <c r="B52" s="190">
        <v>1547</v>
      </c>
      <c r="C52" s="369"/>
      <c r="D52" s="369"/>
      <c r="E52" s="367"/>
      <c r="F52" s="169" t="s">
        <v>429</v>
      </c>
      <c r="G52" s="193" t="str">
        <f t="shared" ref="G52" si="114">RIGHT(F52,5)</f>
        <v>22:25</v>
      </c>
      <c r="H52" s="243" t="s">
        <v>485</v>
      </c>
      <c r="I52" s="184" t="s">
        <v>15</v>
      </c>
      <c r="J52" s="169" t="s">
        <v>430</v>
      </c>
      <c r="K52" s="193" t="str">
        <f t="shared" ref="K52" si="115">RIGHT(J52,5)</f>
        <v>23:41</v>
      </c>
      <c r="L52" s="184" t="str">
        <f t="shared" ref="L52" si="116">H52</f>
        <v>№562</v>
      </c>
      <c r="M52" s="191">
        <f t="shared" ref="M52" si="117">(J52-F52)*24</f>
        <v>1.2666666666045785</v>
      </c>
      <c r="N52" s="61"/>
      <c r="P52" s="169" t="s">
        <v>428</v>
      </c>
      <c r="Q52" s="185">
        <f t="shared" ref="Q52" si="118">(F52-P52)*24</f>
        <v>2.5166666666627862</v>
      </c>
      <c r="R52" s="192">
        <f>Q52-1</f>
        <v>1.5166666666627862</v>
      </c>
      <c r="S52" s="63"/>
      <c r="V52" s="64"/>
      <c r="W52" s="64"/>
      <c r="X52" s="64"/>
      <c r="Y52" s="64"/>
      <c r="Z52" s="64"/>
      <c r="AA52" s="64"/>
      <c r="AB52" s="64"/>
    </row>
    <row r="53" spans="1:28" s="62" customFormat="1" ht="18" customHeight="1" thickBot="1">
      <c r="A53" s="451">
        <v>3</v>
      </c>
      <c r="B53" s="190">
        <v>1547</v>
      </c>
      <c r="C53" s="448"/>
      <c r="D53" s="448"/>
      <c r="E53" s="450"/>
      <c r="F53" s="169" t="s">
        <v>586</v>
      </c>
      <c r="G53" s="193" t="str">
        <f t="shared" ref="G53" si="119">RIGHT(F53,5)</f>
        <v>23:02</v>
      </c>
      <c r="H53" s="243" t="s">
        <v>701</v>
      </c>
      <c r="I53" s="184" t="s">
        <v>15</v>
      </c>
      <c r="J53" s="169" t="s">
        <v>587</v>
      </c>
      <c r="K53" s="193" t="str">
        <f t="shared" ref="K53" si="120">RIGHT(J53,5)</f>
        <v>00:27</v>
      </c>
      <c r="L53" s="184" t="str">
        <f t="shared" ref="L53" si="121">H53</f>
        <v>№617</v>
      </c>
      <c r="M53" s="191">
        <f t="shared" ref="M53" si="122">(J53-F53)*24</f>
        <v>1.4166666667442769</v>
      </c>
      <c r="N53" s="61"/>
      <c r="P53" s="169" t="s">
        <v>585</v>
      </c>
      <c r="Q53" s="185">
        <f t="shared" ref="Q53" si="123">(F53-P53)*24</f>
        <v>0.9833333333954215</v>
      </c>
      <c r="R53" s="192">
        <f>Q53-Q53</f>
        <v>0</v>
      </c>
      <c r="S53" s="63"/>
      <c r="V53" s="64"/>
      <c r="W53" s="64"/>
      <c r="X53" s="64"/>
      <c r="Y53" s="64"/>
      <c r="Z53" s="64"/>
      <c r="AA53" s="64"/>
      <c r="AB53" s="64"/>
    </row>
    <row r="54" spans="1:28" s="62" customFormat="1" ht="18" customHeight="1" thickBot="1">
      <c r="A54" s="123" t="s">
        <v>16</v>
      </c>
      <c r="B54" s="124"/>
      <c r="C54" s="166">
        <f>Пробеги!E36</f>
        <v>15904</v>
      </c>
      <c r="D54" s="167">
        <f>C54*2</f>
        <v>31808</v>
      </c>
      <c r="E54" s="168">
        <f>DAY(EOMONTH($S$427,0))*24-M54-R54</f>
        <v>734.99999999994179</v>
      </c>
      <c r="F54" s="109"/>
      <c r="G54" s="108"/>
      <c r="H54" s="124"/>
      <c r="I54" s="124"/>
      <c r="J54" s="124"/>
      <c r="K54" s="124"/>
      <c r="L54" s="124"/>
      <c r="M54" s="168">
        <f>SUM(M51:M53)</f>
        <v>4.1500000000814907</v>
      </c>
      <c r="N54" s="61"/>
      <c r="P54" s="188"/>
      <c r="Q54" s="170">
        <f>SUM(Q51:Q53)</f>
        <v>7.8333333333721384</v>
      </c>
      <c r="R54" s="170">
        <f>SUM(R51:R53)</f>
        <v>4.8499999999767169</v>
      </c>
    </row>
    <row r="55" spans="1:28" s="62" customFormat="1" ht="18" customHeight="1">
      <c r="A55" s="189">
        <v>1</v>
      </c>
      <c r="B55" s="190">
        <v>1548</v>
      </c>
      <c r="C55" s="239"/>
      <c r="D55" s="239"/>
      <c r="E55" s="191"/>
      <c r="F55" s="169" t="s">
        <v>162</v>
      </c>
      <c r="G55" s="193" t="str">
        <f t="shared" ref="G55:G56" si="124">RIGHT(F55,5)</f>
        <v>15:57</v>
      </c>
      <c r="H55" s="243" t="s">
        <v>282</v>
      </c>
      <c r="I55" s="184" t="s">
        <v>15</v>
      </c>
      <c r="J55" s="169" t="s">
        <v>163</v>
      </c>
      <c r="K55" s="193" t="str">
        <f t="shared" ref="K55:K56" si="125">RIGHT(J55,5)</f>
        <v>17:15</v>
      </c>
      <c r="L55" s="184" t="str">
        <f t="shared" ref="L55:L56" si="126">H55</f>
        <v>№498</v>
      </c>
      <c r="M55" s="191">
        <f t="shared" ref="M55:M56" si="127">(J55-F55)*24</f>
        <v>1.3000000000465661</v>
      </c>
      <c r="N55" s="61"/>
      <c r="P55" s="169" t="s">
        <v>161</v>
      </c>
      <c r="Q55" s="185">
        <f t="shared" ref="Q55:Q56" si="128">(F55-P55)*24</f>
        <v>2.1166666665812954</v>
      </c>
      <c r="R55" s="192">
        <f>Q55-1</f>
        <v>1.1166666665812954</v>
      </c>
      <c r="S55" s="63"/>
      <c r="V55" s="64"/>
      <c r="W55" s="64"/>
      <c r="X55" s="64"/>
      <c r="Y55" s="64"/>
      <c r="Z55" s="64"/>
      <c r="AA55" s="64"/>
      <c r="AB55" s="64"/>
    </row>
    <row r="56" spans="1:28" s="62" customFormat="1" ht="18" customHeight="1">
      <c r="A56" s="370">
        <v>2</v>
      </c>
      <c r="B56" s="190">
        <v>1548</v>
      </c>
      <c r="C56" s="369"/>
      <c r="D56" s="369"/>
      <c r="E56" s="367"/>
      <c r="F56" s="169" t="s">
        <v>432</v>
      </c>
      <c r="G56" s="193" t="str">
        <f t="shared" si="124"/>
        <v>10:07</v>
      </c>
      <c r="H56" s="243" t="s">
        <v>482</v>
      </c>
      <c r="I56" s="184" t="s">
        <v>15</v>
      </c>
      <c r="J56" s="169" t="s">
        <v>433</v>
      </c>
      <c r="K56" s="193" t="str">
        <f t="shared" si="125"/>
        <v>11:13</v>
      </c>
      <c r="L56" s="184" t="str">
        <f t="shared" si="126"/>
        <v>№559</v>
      </c>
      <c r="M56" s="191">
        <f t="shared" si="127"/>
        <v>1.1000000000931323</v>
      </c>
      <c r="N56" s="61"/>
      <c r="P56" s="169" t="s">
        <v>431</v>
      </c>
      <c r="Q56" s="185">
        <f t="shared" si="128"/>
        <v>5.0166666666045785</v>
      </c>
      <c r="R56" s="192">
        <f>Q56-1</f>
        <v>4.0166666666045785</v>
      </c>
      <c r="S56" s="63"/>
      <c r="V56" s="64"/>
      <c r="W56" s="64"/>
      <c r="X56" s="64"/>
      <c r="Y56" s="64"/>
      <c r="Z56" s="64"/>
      <c r="AA56" s="64"/>
      <c r="AB56" s="64"/>
    </row>
    <row r="57" spans="1:28" s="62" customFormat="1" ht="18" customHeight="1" thickBot="1">
      <c r="A57" s="451">
        <v>3</v>
      </c>
      <c r="B57" s="190">
        <v>1548</v>
      </c>
      <c r="C57" s="448"/>
      <c r="D57" s="448"/>
      <c r="E57" s="450"/>
      <c r="F57" s="452" t="s">
        <v>589</v>
      </c>
      <c r="G57" s="457" t="str">
        <f t="shared" ref="G57" si="129">RIGHT(F57,5)</f>
        <v>23:41</v>
      </c>
      <c r="H57" s="243" t="s">
        <v>717</v>
      </c>
      <c r="I57" s="184" t="s">
        <v>15</v>
      </c>
      <c r="J57" s="169" t="s">
        <v>590</v>
      </c>
      <c r="K57" s="193" t="str">
        <f t="shared" ref="K57" si="130">RIGHT(J57,5)</f>
        <v>00:53</v>
      </c>
      <c r="L57" s="184" t="str">
        <f t="shared" ref="L57" si="131">H57</f>
        <v>№627</v>
      </c>
      <c r="M57" s="458">
        <f t="shared" ref="M57" si="132">(J57-F57)*24</f>
        <v>1.2000000000698492</v>
      </c>
      <c r="N57" s="61"/>
      <c r="P57" s="452" t="s">
        <v>588</v>
      </c>
      <c r="Q57" s="453">
        <f t="shared" ref="Q57" si="133">(F57-P57)*24</f>
        <v>1.96666666661622</v>
      </c>
      <c r="R57" s="454">
        <f>Q57-1</f>
        <v>0.96666666661622003</v>
      </c>
      <c r="S57" s="63"/>
      <c r="V57" s="64"/>
      <c r="W57" s="64"/>
      <c r="X57" s="64"/>
      <c r="Y57" s="64"/>
      <c r="Z57" s="64"/>
      <c r="AA57" s="64"/>
      <c r="AB57" s="64"/>
    </row>
    <row r="58" spans="1:28" s="62" customFormat="1" ht="18" customHeight="1" thickBot="1">
      <c r="A58" s="123" t="s">
        <v>16</v>
      </c>
      <c r="B58" s="124"/>
      <c r="C58" s="166">
        <f>Пробеги!E38</f>
        <v>14970</v>
      </c>
      <c r="D58" s="167">
        <f>C58*2</f>
        <v>29940</v>
      </c>
      <c r="E58" s="168">
        <f>DAY(EOMONTH($S$427,0))*24-M58-R58</f>
        <v>734.29999999998836</v>
      </c>
      <c r="F58" s="109"/>
      <c r="G58" s="108"/>
      <c r="H58" s="107"/>
      <c r="I58" s="107"/>
      <c r="J58" s="107"/>
      <c r="K58" s="107"/>
      <c r="L58" s="107"/>
      <c r="M58" s="168">
        <f>SUM(M55:M57)</f>
        <v>3.6000000002095476</v>
      </c>
      <c r="N58" s="61"/>
      <c r="P58" s="455"/>
      <c r="Q58" s="456">
        <f>SUM(Q55:Q57)</f>
        <v>9.099999999802094</v>
      </c>
      <c r="R58" s="456">
        <f>SUM(R55:R57)</f>
        <v>6.099999999802094</v>
      </c>
    </row>
    <row r="59" spans="1:28" s="80" customFormat="1" ht="18" customHeight="1">
      <c r="A59" s="195">
        <v>1</v>
      </c>
      <c r="B59" s="196">
        <v>1602</v>
      </c>
      <c r="C59" s="197"/>
      <c r="D59" s="198"/>
      <c r="E59" s="199"/>
      <c r="F59" s="169" t="s">
        <v>59</v>
      </c>
      <c r="G59" s="193" t="str">
        <f t="shared" ref="G59" si="134">RIGHT(F59,5)</f>
        <v>00:35</v>
      </c>
      <c r="H59" s="243" t="s">
        <v>122</v>
      </c>
      <c r="I59" s="184" t="s">
        <v>15</v>
      </c>
      <c r="J59" s="169" t="s">
        <v>60</v>
      </c>
      <c r="K59" s="193" t="str">
        <f t="shared" ref="K59" si="135">RIGHT(J59,5)</f>
        <v>01:45</v>
      </c>
      <c r="L59" s="184" t="str">
        <f t="shared" ref="L59" si="136">H59</f>
        <v>№472</v>
      </c>
      <c r="M59" s="191">
        <f t="shared" ref="M59" si="137">(J59-F59)*24</f>
        <v>1.1666666666278616</v>
      </c>
      <c r="N59" s="61"/>
      <c r="O59" s="62"/>
      <c r="P59" s="169" t="s">
        <v>58</v>
      </c>
      <c r="Q59" s="185">
        <f t="shared" ref="Q59" si="138">(F59-P59)*24</f>
        <v>5.1333333333022892</v>
      </c>
      <c r="R59" s="192">
        <f>Q59-1</f>
        <v>4.1333333333022892</v>
      </c>
    </row>
    <row r="60" spans="1:28" s="80" customFormat="1" ht="18" customHeight="1">
      <c r="A60" s="327">
        <v>2</v>
      </c>
      <c r="B60" s="196">
        <v>1602</v>
      </c>
      <c r="C60" s="328"/>
      <c r="D60" s="329"/>
      <c r="E60" s="330"/>
      <c r="F60" s="169" t="s">
        <v>321</v>
      </c>
      <c r="G60" s="193" t="str">
        <f t="shared" ref="G60:G61" si="139">RIGHT(F60,5)</f>
        <v>06:40</v>
      </c>
      <c r="H60" s="243" t="s">
        <v>394</v>
      </c>
      <c r="I60" s="184" t="s">
        <v>15</v>
      </c>
      <c r="J60" s="169" t="s">
        <v>322</v>
      </c>
      <c r="K60" s="193" t="str">
        <f t="shared" ref="K60:K61" si="140">RIGHT(J60,5)</f>
        <v>07:45</v>
      </c>
      <c r="L60" s="184" t="str">
        <f t="shared" ref="L60" si="141">H60</f>
        <v>№534</v>
      </c>
      <c r="M60" s="191">
        <f t="shared" ref="M60:M61" si="142">(J60-F60)*24</f>
        <v>1.0833333331975155</v>
      </c>
      <c r="N60" s="61"/>
      <c r="O60" s="62"/>
      <c r="P60" s="169" t="s">
        <v>320</v>
      </c>
      <c r="Q60" s="185">
        <f t="shared" ref="Q60" si="143">(F60-P60)*24</f>
        <v>2.7833333333255723</v>
      </c>
      <c r="R60" s="192">
        <f>Q60-1</f>
        <v>1.7833333333255723</v>
      </c>
    </row>
    <row r="61" spans="1:28" s="80" customFormat="1" ht="18" customHeight="1">
      <c r="A61" s="417">
        <v>3</v>
      </c>
      <c r="B61" s="196">
        <v>1602</v>
      </c>
      <c r="C61" s="418"/>
      <c r="D61" s="419"/>
      <c r="E61" s="420"/>
      <c r="F61" s="169" t="s">
        <v>543</v>
      </c>
      <c r="G61" s="193" t="str">
        <f t="shared" si="139"/>
        <v>11:03</v>
      </c>
      <c r="H61" s="243" t="s">
        <v>542</v>
      </c>
      <c r="I61" s="184" t="s">
        <v>138</v>
      </c>
      <c r="J61" s="169" t="s">
        <v>544</v>
      </c>
      <c r="K61" s="193" t="str">
        <f t="shared" si="140"/>
        <v>21:50</v>
      </c>
      <c r="L61" s="184" t="str">
        <f>H61</f>
        <v>№36</v>
      </c>
      <c r="M61" s="191">
        <f t="shared" si="142"/>
        <v>10.783333333209157</v>
      </c>
      <c r="N61" s="61"/>
      <c r="O61" s="62"/>
      <c r="P61" s="169" t="s">
        <v>527</v>
      </c>
      <c r="Q61" s="185">
        <v>11.800000000046566</v>
      </c>
      <c r="R61" s="192">
        <f>Q61-Q61</f>
        <v>0</v>
      </c>
    </row>
    <row r="62" spans="1:28" s="80" customFormat="1" ht="18" customHeight="1" thickBot="1">
      <c r="A62" s="491">
        <v>4</v>
      </c>
      <c r="B62" s="196">
        <v>1602</v>
      </c>
      <c r="C62" s="492"/>
      <c r="D62" s="493"/>
      <c r="E62" s="494"/>
      <c r="F62" s="169" t="s">
        <v>872</v>
      </c>
      <c r="G62" s="193" t="str">
        <f t="shared" ref="G62" si="144">RIGHT(F62,5)</f>
        <v>21:17</v>
      </c>
      <c r="H62" s="243" t="s">
        <v>938</v>
      </c>
      <c r="I62" s="184" t="s">
        <v>15</v>
      </c>
      <c r="J62" s="169" t="s">
        <v>873</v>
      </c>
      <c r="K62" s="193" t="str">
        <f t="shared" ref="K62" si="145">RIGHT(J62,5)</f>
        <v>22:21</v>
      </c>
      <c r="L62" s="184" t="str">
        <f t="shared" ref="L62" si="146">H62</f>
        <v>№659</v>
      </c>
      <c r="M62" s="191">
        <f t="shared" ref="M62" si="147">(J62-F62)*24</f>
        <v>1.0666666666511446</v>
      </c>
      <c r="N62" s="61"/>
      <c r="O62" s="62"/>
      <c r="P62" s="169" t="s">
        <v>871</v>
      </c>
      <c r="Q62" s="185">
        <f t="shared" ref="Q62" si="148">(F62-P62)*24</f>
        <v>2.0166666667792015</v>
      </c>
      <c r="R62" s="192">
        <f>Q62-1</f>
        <v>1.0166666667792015</v>
      </c>
    </row>
    <row r="63" spans="1:28" s="62" customFormat="1" ht="18" customHeight="1" thickBot="1">
      <c r="A63" s="123" t="s">
        <v>16</v>
      </c>
      <c r="B63" s="124"/>
      <c r="C63" s="166">
        <f>Пробеги!E40</f>
        <v>15266</v>
      </c>
      <c r="D63" s="167">
        <f>C63*2</f>
        <v>30532</v>
      </c>
      <c r="E63" s="168">
        <f>DAY(EOMONTH($S$427,0))*24-M63-R63</f>
        <v>722.96666666690726</v>
      </c>
      <c r="F63" s="109"/>
      <c r="G63" s="108"/>
      <c r="H63" s="107"/>
      <c r="I63" s="124"/>
      <c r="J63" s="107"/>
      <c r="K63" s="107"/>
      <c r="L63" s="107"/>
      <c r="M63" s="168">
        <f>SUM(M59:M62)</f>
        <v>14.099999999685679</v>
      </c>
      <c r="N63" s="61"/>
      <c r="P63" s="188"/>
      <c r="Q63" s="170">
        <f>SUM(Q59:Q62)</f>
        <v>21.733333333453629</v>
      </c>
      <c r="R63" s="170">
        <f>SUM(R59:R62)</f>
        <v>6.933333333407063</v>
      </c>
    </row>
    <row r="64" spans="1:28" s="80" customFormat="1" ht="18" customHeight="1">
      <c r="A64" s="195">
        <v>1</v>
      </c>
      <c r="B64" s="196">
        <v>1603</v>
      </c>
      <c r="C64" s="197"/>
      <c r="D64" s="198"/>
      <c r="E64" s="199"/>
      <c r="F64" s="169" t="s">
        <v>204</v>
      </c>
      <c r="G64" s="193" t="str">
        <f t="shared" ref="G64" si="149">RIGHT(F64,5)</f>
        <v>16:24</v>
      </c>
      <c r="H64" s="243" t="s">
        <v>283</v>
      </c>
      <c r="I64" s="184" t="s">
        <v>15</v>
      </c>
      <c r="J64" s="169" t="s">
        <v>205</v>
      </c>
      <c r="K64" s="193" t="str">
        <f t="shared" ref="K64" si="150">RIGHT(J64,5)</f>
        <v>17:47</v>
      </c>
      <c r="L64" s="184" t="str">
        <f t="shared" ref="L64" si="151">H64</f>
        <v>№524</v>
      </c>
      <c r="M64" s="191">
        <f t="shared" ref="M64" si="152">(J64-F64)*24</f>
        <v>1.3833333333022892</v>
      </c>
      <c r="N64" s="61"/>
      <c r="O64" s="62"/>
      <c r="P64" s="169" t="s">
        <v>203</v>
      </c>
      <c r="Q64" s="185">
        <f t="shared" ref="Q64" si="153">(F64-P64)*24</f>
        <v>3.7833333334419876</v>
      </c>
      <c r="R64" s="192">
        <f>Q64-1</f>
        <v>2.7833333334419876</v>
      </c>
    </row>
    <row r="65" spans="1:18" s="80" customFormat="1" ht="18" customHeight="1">
      <c r="A65" s="439">
        <v>2</v>
      </c>
      <c r="B65" s="196">
        <v>1603</v>
      </c>
      <c r="C65" s="440"/>
      <c r="D65" s="441"/>
      <c r="E65" s="442"/>
      <c r="F65" s="169" t="s">
        <v>546</v>
      </c>
      <c r="G65" s="193" t="str">
        <f t="shared" ref="G65:G66" si="154">RIGHT(F65,5)</f>
        <v>18:48</v>
      </c>
      <c r="H65" s="243" t="s">
        <v>702</v>
      </c>
      <c r="I65" s="184" t="s">
        <v>15</v>
      </c>
      <c r="J65" s="169" t="s">
        <v>547</v>
      </c>
      <c r="K65" s="193" t="str">
        <f t="shared" ref="K65:K66" si="155">RIGHT(J65,5)</f>
        <v>20:12</v>
      </c>
      <c r="L65" s="184" t="str">
        <f t="shared" ref="L65" si="156">H65</f>
        <v>№584</v>
      </c>
      <c r="M65" s="191">
        <f t="shared" ref="M65:M66" si="157">(J65-F65)*24</f>
        <v>1.4000000000232831</v>
      </c>
      <c r="N65" s="61"/>
      <c r="O65" s="62"/>
      <c r="P65" s="169" t="s">
        <v>545</v>
      </c>
      <c r="Q65" s="185">
        <f t="shared" ref="Q65" si="158">(F65-P65)*24</f>
        <v>1.3833333333022892</v>
      </c>
      <c r="R65" s="192">
        <f>Q65-1</f>
        <v>0.38333333330228925</v>
      </c>
    </row>
    <row r="66" spans="1:18" s="80" customFormat="1" ht="18" customHeight="1" thickBot="1">
      <c r="A66" s="459">
        <v>3</v>
      </c>
      <c r="B66" s="196">
        <v>1603</v>
      </c>
      <c r="C66" s="460"/>
      <c r="D66" s="461"/>
      <c r="E66" s="462"/>
      <c r="F66" s="169" t="s">
        <v>592</v>
      </c>
      <c r="G66" s="193" t="str">
        <f t="shared" si="154"/>
        <v>11:39</v>
      </c>
      <c r="H66" s="243" t="s">
        <v>741</v>
      </c>
      <c r="I66" s="184" t="s">
        <v>138</v>
      </c>
      <c r="J66" s="169" t="s">
        <v>593</v>
      </c>
      <c r="K66" s="193" t="str">
        <f t="shared" si="155"/>
        <v>21:24</v>
      </c>
      <c r="L66" s="184" t="str">
        <f>H66</f>
        <v>№39</v>
      </c>
      <c r="M66" s="191">
        <f t="shared" si="157"/>
        <v>9.75</v>
      </c>
      <c r="N66" s="61"/>
      <c r="O66" s="62"/>
      <c r="P66" s="169" t="s">
        <v>591</v>
      </c>
      <c r="Q66" s="185">
        <v>11.800000000046566</v>
      </c>
      <c r="R66" s="192">
        <f>Q66-Q66</f>
        <v>0</v>
      </c>
    </row>
    <row r="67" spans="1:18" s="62" customFormat="1" ht="18" customHeight="1" thickBot="1">
      <c r="A67" s="123" t="s">
        <v>16</v>
      </c>
      <c r="B67" s="124"/>
      <c r="C67" s="166">
        <f>Пробеги!E42</f>
        <v>13352</v>
      </c>
      <c r="D67" s="167">
        <f>C67*2</f>
        <v>26704</v>
      </c>
      <c r="E67" s="168">
        <f>DAY(EOMONTH($S$427,0))*24-M67-R67</f>
        <v>728.29999999993015</v>
      </c>
      <c r="F67" s="109"/>
      <c r="G67" s="108"/>
      <c r="H67" s="107"/>
      <c r="I67" s="107"/>
      <c r="J67" s="107"/>
      <c r="K67" s="107"/>
      <c r="L67" s="107"/>
      <c r="M67" s="168">
        <f>SUM(M64:M66)</f>
        <v>12.533333333325572</v>
      </c>
      <c r="N67" s="61"/>
      <c r="P67" s="188"/>
      <c r="Q67" s="170">
        <f>SUM(Q64:Q66)</f>
        <v>16.966666666790843</v>
      </c>
      <c r="R67" s="170">
        <f>SUM(R64:R66)</f>
        <v>3.1666666667442769</v>
      </c>
    </row>
    <row r="68" spans="1:18" s="80" customFormat="1" ht="18" customHeight="1">
      <c r="A68" s="292">
        <v>1</v>
      </c>
      <c r="B68" s="196">
        <v>1604</v>
      </c>
      <c r="C68" s="293"/>
      <c r="D68" s="294"/>
      <c r="E68" s="295"/>
      <c r="F68" s="169" t="s">
        <v>207</v>
      </c>
      <c r="G68" s="193" t="str">
        <f t="shared" ref="G68" si="159">RIGHT(F68,5)</f>
        <v>15:12</v>
      </c>
      <c r="H68" s="243" t="s">
        <v>284</v>
      </c>
      <c r="I68" s="184" t="s">
        <v>15</v>
      </c>
      <c r="J68" s="169" t="s">
        <v>208</v>
      </c>
      <c r="K68" s="193" t="str">
        <f t="shared" ref="K68" si="160">RIGHT(J68,5)</f>
        <v>16:23</v>
      </c>
      <c r="L68" s="184" t="str">
        <f t="shared" ref="L68" si="161">H68</f>
        <v>№515</v>
      </c>
      <c r="M68" s="191">
        <f t="shared" ref="M68" si="162">(J68-F68)*24</f>
        <v>1.1833333333488554</v>
      </c>
      <c r="N68" s="61"/>
      <c r="O68" s="62"/>
      <c r="P68" s="169" t="s">
        <v>206</v>
      </c>
      <c r="Q68" s="185">
        <f t="shared" ref="Q68" si="163">(F68-P68)*24</f>
        <v>2.9666666665580124</v>
      </c>
      <c r="R68" s="192">
        <f>Q68-1</f>
        <v>1.9666666665580124</v>
      </c>
    </row>
    <row r="69" spans="1:18" s="80" customFormat="1" ht="18" customHeight="1">
      <c r="A69" s="439">
        <v>2</v>
      </c>
      <c r="B69" s="196">
        <v>1604</v>
      </c>
      <c r="C69" s="440"/>
      <c r="D69" s="441"/>
      <c r="E69" s="442"/>
      <c r="F69" s="169" t="s">
        <v>549</v>
      </c>
      <c r="G69" s="193" t="str">
        <f t="shared" ref="G69" si="164">RIGHT(F69,5)</f>
        <v>15:21</v>
      </c>
      <c r="H69" s="243" t="s">
        <v>703</v>
      </c>
      <c r="I69" s="184" t="s">
        <v>15</v>
      </c>
      <c r="J69" s="169" t="s">
        <v>550</v>
      </c>
      <c r="K69" s="193" t="str">
        <f t="shared" ref="K69" si="165">RIGHT(J69,5)</f>
        <v>16:28</v>
      </c>
      <c r="L69" s="184" t="str">
        <f t="shared" ref="L69" si="166">H69</f>
        <v>№582</v>
      </c>
      <c r="M69" s="191">
        <f t="shared" ref="M69" si="167">(J69-F69)*24</f>
        <v>1.1166666668141261</v>
      </c>
      <c r="N69" s="61"/>
      <c r="O69" s="62"/>
      <c r="P69" s="169" t="s">
        <v>548</v>
      </c>
      <c r="Q69" s="185">
        <f t="shared" ref="Q69" si="168">(F69-P69)*24</f>
        <v>8.8666666665812954</v>
      </c>
      <c r="R69" s="192">
        <f>Q69-1</f>
        <v>7.8666666665812954</v>
      </c>
    </row>
    <row r="70" spans="1:18" s="80" customFormat="1" ht="18" customHeight="1" thickBot="1">
      <c r="A70" s="491">
        <v>3</v>
      </c>
      <c r="B70" s="196">
        <v>1604</v>
      </c>
      <c r="C70" s="492"/>
      <c r="D70" s="493"/>
      <c r="E70" s="494"/>
      <c r="F70" s="169" t="s">
        <v>875</v>
      </c>
      <c r="G70" s="193" t="str">
        <f t="shared" ref="G70" si="169">RIGHT(F70,5)</f>
        <v>11:50</v>
      </c>
      <c r="H70" s="243" t="s">
        <v>939</v>
      </c>
      <c r="I70" s="184" t="s">
        <v>15</v>
      </c>
      <c r="J70" s="169" t="s">
        <v>876</v>
      </c>
      <c r="K70" s="193" t="str">
        <f t="shared" ref="K70" si="170">RIGHT(J70,5)</f>
        <v>13:02</v>
      </c>
      <c r="L70" s="184" t="str">
        <f t="shared" ref="L70" si="171">H70</f>
        <v>№661</v>
      </c>
      <c r="M70" s="191">
        <f t="shared" ref="M70" si="172">(J70-F70)*24</f>
        <v>1.2000000000698492</v>
      </c>
      <c r="N70" s="61"/>
      <c r="O70" s="62"/>
      <c r="P70" s="169" t="s">
        <v>874</v>
      </c>
      <c r="Q70" s="185">
        <f t="shared" ref="Q70" si="173">(F70-P70)*24</f>
        <v>1.9833333333372138</v>
      </c>
      <c r="R70" s="192">
        <f>Q70-1</f>
        <v>0.98333333333721384</v>
      </c>
    </row>
    <row r="71" spans="1:18" s="62" customFormat="1" ht="18" customHeight="1" thickBot="1">
      <c r="A71" s="123" t="s">
        <v>16</v>
      </c>
      <c r="B71" s="124"/>
      <c r="C71" s="166">
        <f>Пробеги!E44</f>
        <v>13623</v>
      </c>
      <c r="D71" s="167">
        <f>C71*2</f>
        <v>27246</v>
      </c>
      <c r="E71" s="168">
        <f>DAY(EOMONTH($S$427,0))*24-M71-R71</f>
        <v>729.68333333329065</v>
      </c>
      <c r="F71" s="109"/>
      <c r="G71" s="108"/>
      <c r="H71" s="107"/>
      <c r="I71" s="107"/>
      <c r="J71" s="107"/>
      <c r="K71" s="107"/>
      <c r="L71" s="107"/>
      <c r="M71" s="168">
        <f>SUM(M68:M70)</f>
        <v>3.5000000002328306</v>
      </c>
      <c r="N71" s="61"/>
      <c r="P71" s="188"/>
      <c r="Q71" s="170">
        <f>SUM(Q68:Q70)</f>
        <v>13.816666666476522</v>
      </c>
      <c r="R71" s="170">
        <f>SUM(R68:R70)</f>
        <v>10.816666666476522</v>
      </c>
    </row>
    <row r="72" spans="1:18" s="80" customFormat="1" ht="18" customHeight="1">
      <c r="A72" s="195">
        <v>1</v>
      </c>
      <c r="B72" s="196">
        <v>1605</v>
      </c>
      <c r="C72" s="197"/>
      <c r="D72" s="198"/>
      <c r="E72" s="199"/>
      <c r="F72" s="169" t="s">
        <v>165</v>
      </c>
      <c r="G72" s="193" t="str">
        <f t="shared" ref="G72" si="174">RIGHT(F72,5)</f>
        <v>13:57</v>
      </c>
      <c r="H72" s="243" t="s">
        <v>285</v>
      </c>
      <c r="I72" s="184" t="s">
        <v>15</v>
      </c>
      <c r="J72" s="169" t="s">
        <v>166</v>
      </c>
      <c r="K72" s="193" t="str">
        <f t="shared" ref="K72" si="175">RIGHT(J72,5)</f>
        <v>15:13</v>
      </c>
      <c r="L72" s="184" t="str">
        <f t="shared" ref="L72" si="176">H72</f>
        <v>№497</v>
      </c>
      <c r="M72" s="191">
        <f t="shared" ref="M72" si="177">(J72-F72)*24</f>
        <v>1.2666666666045785</v>
      </c>
      <c r="N72" s="61"/>
      <c r="O72" s="62"/>
      <c r="P72" s="169" t="s">
        <v>164</v>
      </c>
      <c r="Q72" s="185">
        <f t="shared" ref="Q72" si="178">(F72-P72)*24</f>
        <v>4.7333333333954215</v>
      </c>
      <c r="R72" s="192">
        <f>Q72-1</f>
        <v>3.7333333333954215</v>
      </c>
    </row>
    <row r="73" spans="1:18" s="80" customFormat="1" ht="18" customHeight="1">
      <c r="A73" s="371">
        <v>2</v>
      </c>
      <c r="B73" s="196">
        <v>1605</v>
      </c>
      <c r="C73" s="372"/>
      <c r="D73" s="373"/>
      <c r="E73" s="374"/>
      <c r="F73" s="169" t="s">
        <v>435</v>
      </c>
      <c r="G73" s="193" t="str">
        <f t="shared" ref="G73:G74" si="179">RIGHT(F73,5)</f>
        <v>01:08</v>
      </c>
      <c r="H73" s="243" t="s">
        <v>483</v>
      </c>
      <c r="I73" s="184" t="s">
        <v>15</v>
      </c>
      <c r="J73" s="169" t="s">
        <v>436</v>
      </c>
      <c r="K73" s="193" t="str">
        <f t="shared" ref="K73:K74" si="180">RIGHT(J73,5)</f>
        <v>02:22</v>
      </c>
      <c r="L73" s="184" t="str">
        <f t="shared" ref="L73:L74" si="181">H73</f>
        <v>№563</v>
      </c>
      <c r="M73" s="191">
        <f t="shared" ref="M73:M74" si="182">(J73-F73)*24</f>
        <v>1.2333333333372138</v>
      </c>
      <c r="N73" s="61"/>
      <c r="O73" s="62"/>
      <c r="P73" s="169" t="s">
        <v>434</v>
      </c>
      <c r="Q73" s="185">
        <f t="shared" ref="Q73:Q74" si="183">(F73-P73)*24</f>
        <v>3.1999999999534339</v>
      </c>
      <c r="R73" s="192">
        <f>Q73-1</f>
        <v>2.1999999999534339</v>
      </c>
    </row>
    <row r="74" spans="1:18" s="80" customFormat="1" ht="18" customHeight="1">
      <c r="A74" s="424">
        <v>3</v>
      </c>
      <c r="B74" s="196">
        <v>1605</v>
      </c>
      <c r="C74" s="425"/>
      <c r="D74" s="426"/>
      <c r="E74" s="427"/>
      <c r="F74" s="169" t="s">
        <v>529</v>
      </c>
      <c r="G74" s="193" t="str">
        <f t="shared" si="179"/>
        <v>19:12</v>
      </c>
      <c r="H74" s="243" t="s">
        <v>737</v>
      </c>
      <c r="I74" s="184" t="s">
        <v>51</v>
      </c>
      <c r="J74" s="169" t="s">
        <v>530</v>
      </c>
      <c r="K74" s="193" t="str">
        <f t="shared" si="180"/>
        <v>20:21</v>
      </c>
      <c r="L74" s="184" t="str">
        <f t="shared" si="181"/>
        <v>№239</v>
      </c>
      <c r="M74" s="191">
        <f t="shared" si="182"/>
        <v>1.1499999999068677</v>
      </c>
      <c r="N74" s="61"/>
      <c r="O74" s="62"/>
      <c r="P74" s="169" t="s">
        <v>528</v>
      </c>
      <c r="Q74" s="185">
        <f t="shared" si="183"/>
        <v>17.166666666744277</v>
      </c>
      <c r="R74" s="192">
        <f>Q74</f>
        <v>17.166666666744277</v>
      </c>
    </row>
    <row r="75" spans="1:18" s="80" customFormat="1" ht="18" customHeight="1">
      <c r="A75" s="459">
        <v>4</v>
      </c>
      <c r="B75" s="196">
        <v>1605</v>
      </c>
      <c r="C75" s="460"/>
      <c r="D75" s="461"/>
      <c r="E75" s="462"/>
      <c r="F75" s="169" t="s">
        <v>595</v>
      </c>
      <c r="G75" s="193" t="str">
        <f t="shared" ref="G75:G77" si="184">RIGHT(F75,5)</f>
        <v>13:44</v>
      </c>
      <c r="H75" s="243" t="s">
        <v>737</v>
      </c>
      <c r="I75" s="184" t="s">
        <v>51</v>
      </c>
      <c r="J75" s="169" t="s">
        <v>596</v>
      </c>
      <c r="K75" s="193" t="str">
        <f t="shared" ref="K75:K77" si="185">RIGHT(J75,5)</f>
        <v>16:54</v>
      </c>
      <c r="L75" s="184" t="str">
        <f t="shared" ref="L75:L76" si="186">H75</f>
        <v>№239</v>
      </c>
      <c r="M75" s="191">
        <f t="shared" ref="M75:M77" si="187">(J75-F75)*24</f>
        <v>3.1666666666860692</v>
      </c>
      <c r="N75" s="61"/>
      <c r="O75" s="62"/>
      <c r="P75" s="169" t="s">
        <v>594</v>
      </c>
      <c r="Q75" s="185">
        <f t="shared" ref="Q75:Q76" si="188">(F75-P75)*24</f>
        <v>28.31666666676756</v>
      </c>
      <c r="R75" s="192">
        <f>Q75</f>
        <v>28.31666666676756</v>
      </c>
    </row>
    <row r="76" spans="1:18" s="80" customFormat="1" ht="18" customHeight="1">
      <c r="A76" s="478">
        <v>5</v>
      </c>
      <c r="B76" s="196">
        <v>1605</v>
      </c>
      <c r="C76" s="479"/>
      <c r="D76" s="480"/>
      <c r="E76" s="481"/>
      <c r="F76" s="169" t="s">
        <v>853</v>
      </c>
      <c r="G76" s="193" t="str">
        <f t="shared" si="184"/>
        <v>06:18</v>
      </c>
      <c r="H76" s="243" t="s">
        <v>940</v>
      </c>
      <c r="I76" s="184" t="s">
        <v>15</v>
      </c>
      <c r="J76" s="169" t="s">
        <v>860</v>
      </c>
      <c r="K76" s="193" t="str">
        <f t="shared" si="185"/>
        <v>07:34</v>
      </c>
      <c r="L76" s="184" t="str">
        <f t="shared" si="186"/>
        <v>№656</v>
      </c>
      <c r="M76" s="191">
        <f t="shared" si="187"/>
        <v>1.2666666667792015</v>
      </c>
      <c r="N76" s="61"/>
      <c r="O76" s="62"/>
      <c r="P76" s="169" t="s">
        <v>833</v>
      </c>
      <c r="Q76" s="185">
        <f t="shared" si="188"/>
        <v>3.75</v>
      </c>
      <c r="R76" s="192">
        <f>Q76-1</f>
        <v>2.75</v>
      </c>
    </row>
    <row r="77" spans="1:18" s="80" customFormat="1" ht="18" customHeight="1" thickBot="1">
      <c r="A77" s="491">
        <v>6</v>
      </c>
      <c r="B77" s="196">
        <v>1605</v>
      </c>
      <c r="C77" s="492"/>
      <c r="D77" s="493"/>
      <c r="E77" s="494"/>
      <c r="F77" s="169" t="s">
        <v>878</v>
      </c>
      <c r="G77" s="193" t="str">
        <f t="shared" si="184"/>
        <v>20:11</v>
      </c>
      <c r="H77" s="243" t="s">
        <v>954</v>
      </c>
      <c r="I77" s="184" t="s">
        <v>138</v>
      </c>
      <c r="J77" s="169" t="s">
        <v>879</v>
      </c>
      <c r="K77" s="193" t="str">
        <f t="shared" si="185"/>
        <v>19:31</v>
      </c>
      <c r="L77" s="184" t="str">
        <f>H77</f>
        <v>№44</v>
      </c>
      <c r="M77" s="191">
        <f t="shared" si="187"/>
        <v>23.333333333430346</v>
      </c>
      <c r="N77" s="61"/>
      <c r="O77" s="62"/>
      <c r="P77" s="169" t="s">
        <v>877</v>
      </c>
      <c r="Q77" s="185">
        <v>11.800000000046566</v>
      </c>
      <c r="R77" s="192">
        <f>Q77-Q77</f>
        <v>0</v>
      </c>
    </row>
    <row r="78" spans="1:18" s="62" customFormat="1" ht="18" customHeight="1" thickBot="1">
      <c r="A78" s="123" t="s">
        <v>16</v>
      </c>
      <c r="B78" s="124"/>
      <c r="C78" s="166">
        <f>Пробеги!E46</f>
        <v>11021</v>
      </c>
      <c r="D78" s="167">
        <f>C78*2</f>
        <v>22042</v>
      </c>
      <c r="E78" s="168">
        <f>DAY(EOMONTH($S$427,0))*24-M78-R78</f>
        <v>658.41666666639503</v>
      </c>
      <c r="F78" s="109"/>
      <c r="G78" s="108"/>
      <c r="H78" s="107"/>
      <c r="I78" s="124"/>
      <c r="J78" s="107"/>
      <c r="K78" s="107"/>
      <c r="L78" s="107"/>
      <c r="M78" s="168">
        <f>SUM(M72:M77)</f>
        <v>31.416666666744277</v>
      </c>
      <c r="N78" s="61"/>
      <c r="P78" s="188"/>
      <c r="Q78" s="170">
        <f>SUM(Q72:Q77)</f>
        <v>68.966666666907258</v>
      </c>
      <c r="R78" s="170">
        <f>SUM(R72:R77)</f>
        <v>54.166666666860692</v>
      </c>
    </row>
    <row r="79" spans="1:18" s="62" customFormat="1" ht="18" customHeight="1">
      <c r="A79" s="189">
        <v>1</v>
      </c>
      <c r="B79" s="190">
        <v>1606</v>
      </c>
      <c r="C79" s="184"/>
      <c r="D79" s="200"/>
      <c r="E79" s="191"/>
      <c r="F79" s="169" t="s">
        <v>210</v>
      </c>
      <c r="G79" s="193" t="str">
        <f t="shared" ref="G79" si="189">RIGHT(F79,5)</f>
        <v>04:51</v>
      </c>
      <c r="H79" s="243" t="s">
        <v>395</v>
      </c>
      <c r="I79" s="184" t="s">
        <v>15</v>
      </c>
      <c r="J79" s="169" t="s">
        <v>211</v>
      </c>
      <c r="K79" s="193" t="str">
        <f t="shared" ref="K79" si="190">RIGHT(J79,5)</f>
        <v>05:58</v>
      </c>
      <c r="L79" s="184" t="str">
        <f t="shared" ref="L79" si="191">H79</f>
        <v>№533</v>
      </c>
      <c r="M79" s="191">
        <f t="shared" ref="M79" si="192">(J79-F79)*24</f>
        <v>1.1166666668141261</v>
      </c>
      <c r="N79" s="61"/>
      <c r="P79" s="169" t="s">
        <v>209</v>
      </c>
      <c r="Q79" s="185">
        <f t="shared" ref="Q79" si="193">(F79-P79)*24</f>
        <v>4.21666666661622</v>
      </c>
      <c r="R79" s="192">
        <f>Q79-1</f>
        <v>3.21666666661622</v>
      </c>
    </row>
    <row r="80" spans="1:18" s="62" customFormat="1" ht="18" customHeight="1">
      <c r="A80" s="451">
        <v>2</v>
      </c>
      <c r="B80" s="190">
        <v>1606</v>
      </c>
      <c r="C80" s="449"/>
      <c r="D80" s="463"/>
      <c r="E80" s="450"/>
      <c r="F80" s="169" t="s">
        <v>598</v>
      </c>
      <c r="G80" s="193" t="str">
        <f t="shared" ref="G80:G81" si="194">RIGHT(F80,5)</f>
        <v>16:55</v>
      </c>
      <c r="H80" s="243" t="s">
        <v>718</v>
      </c>
      <c r="I80" s="184" t="s">
        <v>15</v>
      </c>
      <c r="J80" s="169" t="s">
        <v>599</v>
      </c>
      <c r="K80" s="193" t="str">
        <f t="shared" ref="K80:K81" si="195">RIGHT(J80,5)</f>
        <v>18:06</v>
      </c>
      <c r="L80" s="184" t="str">
        <f t="shared" ref="L80" si="196">H80</f>
        <v>№594</v>
      </c>
      <c r="M80" s="191">
        <f t="shared" ref="M80:M81" si="197">(J80-F80)*24</f>
        <v>1.1833333333488554</v>
      </c>
      <c r="N80" s="61"/>
      <c r="P80" s="169" t="s">
        <v>597</v>
      </c>
      <c r="Q80" s="185">
        <f t="shared" ref="Q80" si="198">(F80-P80)*24</f>
        <v>3.7333333332790062</v>
      </c>
      <c r="R80" s="192">
        <f>Q80-1</f>
        <v>2.7333333332790062</v>
      </c>
    </row>
    <row r="81" spans="1:18" s="62" customFormat="1" ht="18" customHeight="1" thickBot="1">
      <c r="A81" s="451">
        <v>3</v>
      </c>
      <c r="B81" s="190">
        <v>1606</v>
      </c>
      <c r="C81" s="449"/>
      <c r="D81" s="463"/>
      <c r="E81" s="450"/>
      <c r="F81" s="169" t="s">
        <v>601</v>
      </c>
      <c r="G81" s="193" t="str">
        <f t="shared" si="194"/>
        <v>18:25</v>
      </c>
      <c r="H81" s="243" t="s">
        <v>742</v>
      </c>
      <c r="I81" s="184" t="s">
        <v>138</v>
      </c>
      <c r="J81" s="169" t="s">
        <v>602</v>
      </c>
      <c r="K81" s="193" t="str">
        <f t="shared" si="195"/>
        <v>19:32</v>
      </c>
      <c r="L81" s="184" t="str">
        <f>H81</f>
        <v>№40</v>
      </c>
      <c r="M81" s="191">
        <f t="shared" si="197"/>
        <v>25.116666666639503</v>
      </c>
      <c r="N81" s="61"/>
      <c r="P81" s="169" t="s">
        <v>600</v>
      </c>
      <c r="Q81" s="185">
        <v>11.800000000046566</v>
      </c>
      <c r="R81" s="192">
        <f>Q81-Q81</f>
        <v>0</v>
      </c>
    </row>
    <row r="82" spans="1:18" s="62" customFormat="1" ht="18" customHeight="1" thickBot="1">
      <c r="A82" s="123" t="s">
        <v>16</v>
      </c>
      <c r="B82" s="124"/>
      <c r="C82" s="166">
        <f>Пробеги!E48</f>
        <v>13172</v>
      </c>
      <c r="D82" s="167">
        <f>C82*2</f>
        <v>26344</v>
      </c>
      <c r="E82" s="168">
        <f>DAY(EOMONTH($S$427,0))*24-M82-R82</f>
        <v>710.63333333330229</v>
      </c>
      <c r="F82" s="109"/>
      <c r="G82" s="108"/>
      <c r="H82" s="107"/>
      <c r="I82" s="107"/>
      <c r="J82" s="107"/>
      <c r="K82" s="107"/>
      <c r="L82" s="107"/>
      <c r="M82" s="168">
        <f>SUM(M79:M81)</f>
        <v>27.416666666802485</v>
      </c>
      <c r="N82" s="61"/>
      <c r="P82" s="188"/>
      <c r="Q82" s="170">
        <f>SUM(Q79:Q81)</f>
        <v>19.749999999941792</v>
      </c>
      <c r="R82" s="170">
        <f>SUM(R79:R81)</f>
        <v>5.9499999998952262</v>
      </c>
    </row>
    <row r="83" spans="1:18" s="62" customFormat="1" ht="18" customHeight="1">
      <c r="A83" s="87"/>
      <c r="B83" s="84"/>
      <c r="C83" s="84"/>
      <c r="D83" s="88"/>
      <c r="E83" s="89"/>
      <c r="F83" s="83"/>
      <c r="G83" s="85"/>
      <c r="H83" s="84"/>
      <c r="I83" s="84"/>
      <c r="J83" s="84"/>
      <c r="K83" s="84"/>
      <c r="L83" s="84"/>
      <c r="M83" s="89"/>
      <c r="N83" s="61"/>
      <c r="P83" s="90"/>
      <c r="Q83" s="91"/>
      <c r="R83" s="91"/>
    </row>
    <row r="84" spans="1:18" s="62" customFormat="1" ht="18" customHeight="1">
      <c r="A84" s="87"/>
      <c r="B84" s="84"/>
      <c r="C84" s="84"/>
      <c r="D84" s="88"/>
      <c r="E84" s="89"/>
      <c r="F84" s="83"/>
      <c r="G84" s="85"/>
      <c r="H84" s="84"/>
      <c r="I84" s="84"/>
      <c r="J84" s="84"/>
      <c r="K84" s="84"/>
      <c r="L84" s="580" t="s">
        <v>1204</v>
      </c>
      <c r="M84" s="580"/>
      <c r="N84" s="61"/>
      <c r="P84" s="90"/>
      <c r="Q84" s="91"/>
      <c r="R84" s="91"/>
    </row>
    <row r="85" spans="1:18" s="62" customFormat="1" ht="18" customHeight="1">
      <c r="A85" s="189">
        <v>1</v>
      </c>
      <c r="B85" s="190">
        <v>1607</v>
      </c>
      <c r="C85" s="184"/>
      <c r="D85" s="200"/>
      <c r="E85" s="191"/>
      <c r="F85" s="169" t="s">
        <v>132</v>
      </c>
      <c r="G85" s="193" t="str">
        <f t="shared" ref="G85:G86" si="199">RIGHT(F85,5)</f>
        <v>03:35</v>
      </c>
      <c r="H85" s="243" t="s">
        <v>286</v>
      </c>
      <c r="I85" s="184" t="s">
        <v>15</v>
      </c>
      <c r="J85" s="169" t="s">
        <v>133</v>
      </c>
      <c r="K85" s="193" t="str">
        <f t="shared" ref="K85:K86" si="200">RIGHT(J85,5)</f>
        <v>04:44</v>
      </c>
      <c r="L85" s="184" t="str">
        <f t="shared" ref="L85:L86" si="201">H85</f>
        <v>№493</v>
      </c>
      <c r="M85" s="191">
        <f t="shared" ref="M85:M86" si="202">(J85-F85)*24</f>
        <v>1.1500000000814907</v>
      </c>
      <c r="N85" s="61"/>
      <c r="P85" s="169" t="s">
        <v>131</v>
      </c>
      <c r="Q85" s="185">
        <f t="shared" ref="Q85:Q86" si="203">(F85-P85)*24</f>
        <v>0.76666666672099382</v>
      </c>
      <c r="R85" s="192">
        <f>Q85-Q85</f>
        <v>0</v>
      </c>
    </row>
    <row r="86" spans="1:18" s="62" customFormat="1" ht="18" customHeight="1">
      <c r="A86" s="412">
        <v>2</v>
      </c>
      <c r="B86" s="190">
        <v>1607</v>
      </c>
      <c r="C86" s="413"/>
      <c r="D86" s="414"/>
      <c r="E86" s="415"/>
      <c r="F86" s="169" t="s">
        <v>350</v>
      </c>
      <c r="G86" s="193" t="str">
        <f t="shared" si="199"/>
        <v>04:11</v>
      </c>
      <c r="H86" s="243" t="s">
        <v>526</v>
      </c>
      <c r="I86" s="184" t="s">
        <v>51</v>
      </c>
      <c r="J86" s="169" t="s">
        <v>351</v>
      </c>
      <c r="K86" s="193" t="str">
        <f t="shared" si="200"/>
        <v>04:52</v>
      </c>
      <c r="L86" s="184" t="str">
        <f t="shared" si="201"/>
        <v>№233</v>
      </c>
      <c r="M86" s="191">
        <f t="shared" si="202"/>
        <v>0.68333333329064772</v>
      </c>
      <c r="N86" s="61"/>
      <c r="P86" s="169" t="s">
        <v>349</v>
      </c>
      <c r="Q86" s="185">
        <f t="shared" si="203"/>
        <v>5.1833333332906477</v>
      </c>
      <c r="R86" s="192">
        <f>Q86</f>
        <v>5.1833333332906477</v>
      </c>
    </row>
    <row r="87" spans="1:18" s="62" customFormat="1" ht="18" customHeight="1">
      <c r="A87" s="357">
        <v>3</v>
      </c>
      <c r="B87" s="190">
        <v>1607</v>
      </c>
      <c r="C87" s="355"/>
      <c r="D87" s="359"/>
      <c r="E87" s="356"/>
      <c r="F87" s="169" t="s">
        <v>376</v>
      </c>
      <c r="G87" s="193" t="str">
        <f t="shared" ref="G87:G89" si="204">RIGHT(F87,5)</f>
        <v>21:59</v>
      </c>
      <c r="H87" s="243" t="s">
        <v>410</v>
      </c>
      <c r="I87" s="184" t="s">
        <v>15</v>
      </c>
      <c r="J87" s="169" t="s">
        <v>378</v>
      </c>
      <c r="K87" s="193" t="str">
        <f t="shared" ref="K87:K89" si="205">RIGHT(J87,5)</f>
        <v>23:40</v>
      </c>
      <c r="L87" s="184" t="str">
        <f t="shared" ref="L87:L88" si="206">H87</f>
        <v>№549</v>
      </c>
      <c r="M87" s="191">
        <f t="shared" ref="M87:M89" si="207">(J87-F87)*24</f>
        <v>1.6833333332324401</v>
      </c>
      <c r="N87" s="61"/>
      <c r="P87" s="169" t="s">
        <v>375</v>
      </c>
      <c r="Q87" s="185">
        <f t="shared" ref="Q87:Q88" si="208">(F87-P87)*24</f>
        <v>0.96666666667442769</v>
      </c>
      <c r="R87" s="192">
        <f>Q87-Q87</f>
        <v>0</v>
      </c>
    </row>
    <row r="88" spans="1:18" s="62" customFormat="1" ht="18" customHeight="1">
      <c r="A88" s="412">
        <v>4</v>
      </c>
      <c r="B88" s="190">
        <v>1607</v>
      </c>
      <c r="C88" s="413"/>
      <c r="D88" s="414"/>
      <c r="E88" s="415"/>
      <c r="F88" s="169" t="s">
        <v>377</v>
      </c>
      <c r="G88" s="193" t="str">
        <f t="shared" si="204"/>
        <v>23:41</v>
      </c>
      <c r="H88" s="243" t="s">
        <v>526</v>
      </c>
      <c r="I88" s="184" t="s">
        <v>51</v>
      </c>
      <c r="J88" s="169" t="s">
        <v>379</v>
      </c>
      <c r="K88" s="193" t="str">
        <f t="shared" si="205"/>
        <v>00:34</v>
      </c>
      <c r="L88" s="184" t="str">
        <f t="shared" si="206"/>
        <v>№233</v>
      </c>
      <c r="M88" s="191">
        <f t="shared" si="207"/>
        <v>0.88333333324408159</v>
      </c>
      <c r="N88" s="61"/>
      <c r="P88" s="169" t="s">
        <v>377</v>
      </c>
      <c r="Q88" s="185">
        <f t="shared" si="208"/>
        <v>0</v>
      </c>
      <c r="R88" s="192">
        <f>Q88</f>
        <v>0</v>
      </c>
    </row>
    <row r="89" spans="1:18" s="62" customFormat="1" ht="18" customHeight="1" thickBot="1">
      <c r="A89" s="451">
        <v>5</v>
      </c>
      <c r="B89" s="190">
        <v>1607</v>
      </c>
      <c r="C89" s="449"/>
      <c r="D89" s="463"/>
      <c r="E89" s="450"/>
      <c r="F89" s="169" t="s">
        <v>604</v>
      </c>
      <c r="G89" s="193" t="str">
        <f t="shared" si="204"/>
        <v>14:12</v>
      </c>
      <c r="H89" s="243" t="s">
        <v>743</v>
      </c>
      <c r="I89" s="184" t="s">
        <v>138</v>
      </c>
      <c r="J89" s="169" t="s">
        <v>605</v>
      </c>
      <c r="K89" s="193" t="str">
        <f t="shared" si="205"/>
        <v>21:46</v>
      </c>
      <c r="L89" s="184" t="str">
        <f>H89</f>
        <v>№41</v>
      </c>
      <c r="M89" s="191">
        <f t="shared" si="207"/>
        <v>7.5666666667093523</v>
      </c>
      <c r="N89" s="61"/>
      <c r="P89" s="169" t="s">
        <v>603</v>
      </c>
      <c r="Q89" s="185">
        <v>11.800000000046566</v>
      </c>
      <c r="R89" s="192">
        <f>Q89-Q89</f>
        <v>0</v>
      </c>
    </row>
    <row r="90" spans="1:18" s="62" customFormat="1" ht="18" customHeight="1" thickBot="1">
      <c r="A90" s="123" t="s">
        <v>16</v>
      </c>
      <c r="B90" s="124"/>
      <c r="C90" s="166">
        <f>Пробеги!E50</f>
        <v>15749</v>
      </c>
      <c r="D90" s="167">
        <f>C90*2</f>
        <v>31498</v>
      </c>
      <c r="E90" s="168">
        <f>DAY(EOMONTH($S$427,0))*24-M90-R90</f>
        <v>726.85000000015134</v>
      </c>
      <c r="F90" s="109"/>
      <c r="G90" s="108"/>
      <c r="H90" s="107"/>
      <c r="I90" s="107"/>
      <c r="J90" s="107"/>
      <c r="K90" s="107"/>
      <c r="L90" s="107"/>
      <c r="M90" s="168">
        <f>SUM(M85:M89)</f>
        <v>11.966666666558012</v>
      </c>
      <c r="N90" s="61"/>
      <c r="P90" s="188"/>
      <c r="Q90" s="170">
        <f>SUM(Q85:Q89)</f>
        <v>18.716666666732635</v>
      </c>
      <c r="R90" s="170">
        <f>SUM(R85:R89)</f>
        <v>5.1833333332906477</v>
      </c>
    </row>
    <row r="91" spans="1:18" s="187" customFormat="1" ht="18" customHeight="1">
      <c r="A91" s="189">
        <v>1</v>
      </c>
      <c r="B91" s="190">
        <v>1608</v>
      </c>
      <c r="C91" s="184"/>
      <c r="D91" s="200"/>
      <c r="E91" s="191"/>
      <c r="F91" s="169" t="s">
        <v>62</v>
      </c>
      <c r="G91" s="193" t="str">
        <f t="shared" ref="G91:G92" si="209">RIGHT(F91,5)</f>
        <v>22:25</v>
      </c>
      <c r="H91" s="243" t="s">
        <v>100</v>
      </c>
      <c r="I91" s="184" t="s">
        <v>15</v>
      </c>
      <c r="J91" s="169" t="s">
        <v>63</v>
      </c>
      <c r="K91" s="193" t="str">
        <f t="shared" ref="K91:K92" si="210">RIGHT(J91,5)</f>
        <v>23:44</v>
      </c>
      <c r="L91" s="184" t="str">
        <f t="shared" ref="L91:L92" si="211">H91</f>
        <v>№471</v>
      </c>
      <c r="M91" s="191">
        <f t="shared" ref="M91:M92" si="212">(J91-F91)*24</f>
        <v>1.316666666592937</v>
      </c>
      <c r="N91" s="61"/>
      <c r="O91" s="62"/>
      <c r="P91" s="169" t="s">
        <v>61</v>
      </c>
      <c r="Q91" s="185">
        <f t="shared" ref="Q91:Q92" si="213">(F91-P91)*24</f>
        <v>1.9500000000698492</v>
      </c>
      <c r="R91" s="192">
        <f>Q91-1</f>
        <v>0.95000000006984919</v>
      </c>
    </row>
    <row r="92" spans="1:18" s="187" customFormat="1" ht="18" customHeight="1">
      <c r="A92" s="268">
        <v>2</v>
      </c>
      <c r="B92" s="190">
        <v>1608</v>
      </c>
      <c r="C92" s="269"/>
      <c r="D92" s="270"/>
      <c r="E92" s="271"/>
      <c r="F92" s="169" t="s">
        <v>168</v>
      </c>
      <c r="G92" s="193" t="str">
        <f t="shared" si="209"/>
        <v>14:05</v>
      </c>
      <c r="H92" s="243" t="s">
        <v>494</v>
      </c>
      <c r="I92" s="184" t="s">
        <v>51</v>
      </c>
      <c r="J92" s="169" t="s">
        <v>169</v>
      </c>
      <c r="K92" s="193" t="str">
        <f t="shared" si="210"/>
        <v>14:29</v>
      </c>
      <c r="L92" s="184" t="str">
        <f t="shared" si="211"/>
        <v>№РЦ14/23</v>
      </c>
      <c r="M92" s="191">
        <f t="shared" si="212"/>
        <v>0.40000000008149073</v>
      </c>
      <c r="N92" s="61"/>
      <c r="O92" s="62"/>
      <c r="P92" s="169" t="s">
        <v>167</v>
      </c>
      <c r="Q92" s="185">
        <f t="shared" si="213"/>
        <v>6.2666666666627862</v>
      </c>
      <c r="R92" s="384">
        <v>0</v>
      </c>
    </row>
    <row r="93" spans="1:18" s="187" customFormat="1" ht="18" customHeight="1">
      <c r="A93" s="331">
        <v>3</v>
      </c>
      <c r="B93" s="190">
        <v>1608</v>
      </c>
      <c r="C93" s="332"/>
      <c r="D93" s="333"/>
      <c r="E93" s="334"/>
      <c r="F93" s="169" t="s">
        <v>324</v>
      </c>
      <c r="G93" s="193" t="str">
        <f t="shared" ref="G93" si="214">RIGHT(F93,5)</f>
        <v>21:17</v>
      </c>
      <c r="H93" s="243" t="s">
        <v>396</v>
      </c>
      <c r="I93" s="184" t="s">
        <v>15</v>
      </c>
      <c r="J93" s="169" t="s">
        <v>325</v>
      </c>
      <c r="K93" s="193" t="str">
        <f t="shared" ref="K93" si="215">RIGHT(J93,5)</f>
        <v>22:31</v>
      </c>
      <c r="L93" s="184" t="str">
        <f t="shared" ref="L93" si="216">H93</f>
        <v>№539</v>
      </c>
      <c r="M93" s="191">
        <f t="shared" ref="M93" si="217">(J93-F93)*24</f>
        <v>1.2333333333372138</v>
      </c>
      <c r="N93" s="61"/>
      <c r="O93" s="62"/>
      <c r="P93" s="169" t="s">
        <v>323</v>
      </c>
      <c r="Q93" s="185">
        <f t="shared" ref="Q93" si="218">(F93-P93)*24</f>
        <v>2.1166666667559184</v>
      </c>
      <c r="R93" s="192">
        <f>Q93-1</f>
        <v>1.1166666667559184</v>
      </c>
    </row>
    <row r="94" spans="1:18" s="187" customFormat="1" ht="18" customHeight="1">
      <c r="A94" s="445">
        <v>4</v>
      </c>
      <c r="B94" s="190">
        <v>1608</v>
      </c>
      <c r="C94" s="443"/>
      <c r="D94" s="446"/>
      <c r="E94" s="444"/>
      <c r="F94" s="169" t="s">
        <v>552</v>
      </c>
      <c r="G94" s="193" t="str">
        <f t="shared" ref="G94:G95" si="219">RIGHT(F94,5)</f>
        <v>05:23</v>
      </c>
      <c r="H94" s="243" t="s">
        <v>719</v>
      </c>
      <c r="I94" s="184" t="s">
        <v>15</v>
      </c>
      <c r="J94" s="169" t="s">
        <v>606</v>
      </c>
      <c r="K94" s="193" t="str">
        <f t="shared" ref="K94:K95" si="220">RIGHT(J94,5)</f>
        <v>06:33</v>
      </c>
      <c r="L94" s="184" t="str">
        <f t="shared" ref="L94" si="221">H94</f>
        <v>№588</v>
      </c>
      <c r="M94" s="191">
        <f t="shared" ref="M94:M95" si="222">(J94-F94)*24</f>
        <v>1.1666666666278616</v>
      </c>
      <c r="N94" s="61"/>
      <c r="O94" s="62"/>
      <c r="P94" s="169" t="s">
        <v>551</v>
      </c>
      <c r="Q94" s="185">
        <f t="shared" ref="Q94" si="223">(F94-P94)*24</f>
        <v>5.1500000000232831</v>
      </c>
      <c r="R94" s="192">
        <f>Q94-1</f>
        <v>4.1500000000232831</v>
      </c>
    </row>
    <row r="95" spans="1:18" s="187" customFormat="1" ht="18" customHeight="1" thickBot="1">
      <c r="A95" s="451">
        <v>5</v>
      </c>
      <c r="B95" s="190">
        <v>1608</v>
      </c>
      <c r="C95" s="449"/>
      <c r="D95" s="463"/>
      <c r="E95" s="450"/>
      <c r="F95" s="169" t="s">
        <v>747</v>
      </c>
      <c r="G95" s="193" t="str">
        <f t="shared" si="219"/>
        <v>11:01</v>
      </c>
      <c r="H95" s="243" t="s">
        <v>744</v>
      </c>
      <c r="I95" s="184" t="s">
        <v>138</v>
      </c>
      <c r="J95" s="169" t="s">
        <v>755</v>
      </c>
      <c r="K95" s="193" t="str">
        <f t="shared" si="220"/>
        <v>20:09</v>
      </c>
      <c r="L95" s="184" t="str">
        <f>H95</f>
        <v>№42</v>
      </c>
      <c r="M95" s="191">
        <f t="shared" si="222"/>
        <v>9.1333333334187046</v>
      </c>
      <c r="N95" s="61"/>
      <c r="O95" s="62"/>
      <c r="P95" s="169" t="s">
        <v>748</v>
      </c>
      <c r="Q95" s="185">
        <v>11.800000000046566</v>
      </c>
      <c r="R95" s="192">
        <f>Q95-Q95</f>
        <v>0</v>
      </c>
    </row>
    <row r="96" spans="1:18" s="187" customFormat="1" ht="18" customHeight="1" thickBot="1">
      <c r="A96" s="123" t="s">
        <v>16</v>
      </c>
      <c r="B96" s="124"/>
      <c r="C96" s="166">
        <f>Пробеги!E52</f>
        <v>14200</v>
      </c>
      <c r="D96" s="167">
        <f>C96*2</f>
        <v>28400</v>
      </c>
      <c r="E96" s="168">
        <f>DAY(EOMONTH($S$427,0))*24-M96-R96</f>
        <v>724.53333333309274</v>
      </c>
      <c r="F96" s="109"/>
      <c r="G96" s="108"/>
      <c r="H96" s="107"/>
      <c r="I96" s="107"/>
      <c r="J96" s="107"/>
      <c r="K96" s="107"/>
      <c r="L96" s="107"/>
      <c r="M96" s="168">
        <f>SUM(M91:M95)</f>
        <v>13.250000000058208</v>
      </c>
      <c r="N96" s="61"/>
      <c r="O96" s="62"/>
      <c r="P96" s="188"/>
      <c r="Q96" s="170">
        <f>SUM(Q91:Q95)</f>
        <v>27.283333333558403</v>
      </c>
      <c r="R96" s="170">
        <f>SUM(R91:R95)</f>
        <v>6.2166666668490507</v>
      </c>
    </row>
    <row r="97" spans="1:18" s="62" customFormat="1" ht="18" customHeight="1">
      <c r="A97" s="201">
        <v>1</v>
      </c>
      <c r="B97" s="190">
        <v>1609</v>
      </c>
      <c r="C97" s="202"/>
      <c r="D97" s="203"/>
      <c r="E97" s="204"/>
      <c r="F97" s="169" t="s">
        <v>92</v>
      </c>
      <c r="G97" s="193" t="str">
        <f t="shared" ref="G97" si="224">RIGHT(F97,5)</f>
        <v>18:57</v>
      </c>
      <c r="H97" s="243" t="s">
        <v>123</v>
      </c>
      <c r="I97" s="184" t="s">
        <v>15</v>
      </c>
      <c r="J97" s="169" t="s">
        <v>93</v>
      </c>
      <c r="K97" s="193" t="str">
        <f t="shared" ref="K97" si="225">RIGHT(J97,5)</f>
        <v>20:14</v>
      </c>
      <c r="L97" s="184" t="str">
        <f t="shared" ref="L97" si="226">H97</f>
        <v>№478</v>
      </c>
      <c r="M97" s="191">
        <f t="shared" ref="M97" si="227">(J97-F97)*24</f>
        <v>1.2833333333255723</v>
      </c>
      <c r="N97" s="61"/>
      <c r="P97" s="169" t="s">
        <v>91</v>
      </c>
      <c r="Q97" s="185">
        <f t="shared" ref="Q97" si="228">(F97-P97)*24</f>
        <v>4.9999999988358468E-2</v>
      </c>
      <c r="R97" s="192">
        <f>Q97-Q97</f>
        <v>0</v>
      </c>
    </row>
    <row r="98" spans="1:18" s="62" customFormat="1" ht="18" customHeight="1">
      <c r="A98" s="349">
        <v>2</v>
      </c>
      <c r="B98" s="190">
        <v>1609</v>
      </c>
      <c r="C98" s="347"/>
      <c r="D98" s="351"/>
      <c r="E98" s="348"/>
      <c r="F98" s="169" t="s">
        <v>353</v>
      </c>
      <c r="G98" s="193" t="str">
        <f t="shared" ref="G98" si="229">RIGHT(F98,5)</f>
        <v>02:04</v>
      </c>
      <c r="H98" s="243" t="s">
        <v>397</v>
      </c>
      <c r="I98" s="184" t="s">
        <v>15</v>
      </c>
      <c r="J98" s="169" t="s">
        <v>354</v>
      </c>
      <c r="K98" s="193" t="str">
        <f t="shared" ref="K98" si="230">RIGHT(J98,5)</f>
        <v>03:33</v>
      </c>
      <c r="L98" s="184" t="str">
        <f t="shared" ref="L98" si="231">H98</f>
        <v>№544</v>
      </c>
      <c r="M98" s="191">
        <f t="shared" ref="M98" si="232">(J98-F98)*24</f>
        <v>1.4833333334536292</v>
      </c>
      <c r="N98" s="61"/>
      <c r="P98" s="169" t="s">
        <v>352</v>
      </c>
      <c r="Q98" s="185">
        <f t="shared" ref="Q98" si="233">(F98-P98)*24</f>
        <v>3.2499999999417923</v>
      </c>
      <c r="R98" s="192">
        <f>Q98-1</f>
        <v>2.2499999999417923</v>
      </c>
    </row>
    <row r="99" spans="1:18" s="62" customFormat="1" ht="18" customHeight="1">
      <c r="A99" s="451">
        <v>3</v>
      </c>
      <c r="B99" s="190">
        <v>1609</v>
      </c>
      <c r="C99" s="449"/>
      <c r="D99" s="463"/>
      <c r="E99" s="450"/>
      <c r="F99" s="169" t="s">
        <v>608</v>
      </c>
      <c r="G99" s="193" t="str">
        <f t="shared" ref="G99:G100" si="234">RIGHT(F99,5)</f>
        <v>05:22</v>
      </c>
      <c r="H99" s="243" t="s">
        <v>704</v>
      </c>
      <c r="I99" s="184" t="s">
        <v>15</v>
      </c>
      <c r="J99" s="169" t="s">
        <v>609</v>
      </c>
      <c r="K99" s="193" t="str">
        <f t="shared" ref="K99:K100" si="235">RIGHT(J99,5)</f>
        <v>06:34</v>
      </c>
      <c r="L99" s="184" t="str">
        <f t="shared" ref="L99" si="236">H99</f>
        <v>№613</v>
      </c>
      <c r="M99" s="191">
        <f t="shared" ref="M99:M100" si="237">(J99-F99)*24</f>
        <v>1.1999999998952262</v>
      </c>
      <c r="N99" s="61"/>
      <c r="P99" s="169" t="s">
        <v>607</v>
      </c>
      <c r="Q99" s="185">
        <f t="shared" ref="Q99" si="238">(F99-P99)*24</f>
        <v>1.6666666720993817E-2</v>
      </c>
      <c r="R99" s="192">
        <f>Q99-Q99</f>
        <v>0</v>
      </c>
    </row>
    <row r="100" spans="1:18" s="62" customFormat="1" ht="18" customHeight="1" thickBot="1">
      <c r="A100" s="500">
        <v>4</v>
      </c>
      <c r="B100" s="190">
        <v>1609</v>
      </c>
      <c r="C100" s="498"/>
      <c r="D100" s="501"/>
      <c r="E100" s="499"/>
      <c r="F100" s="169" t="s">
        <v>963</v>
      </c>
      <c r="G100" s="193" t="str">
        <f t="shared" si="234"/>
        <v>09:54</v>
      </c>
      <c r="H100" s="243" t="s">
        <v>965</v>
      </c>
      <c r="I100" s="184" t="s">
        <v>138</v>
      </c>
      <c r="J100" s="169" t="s">
        <v>964</v>
      </c>
      <c r="K100" s="193" t="str">
        <f t="shared" si="235"/>
        <v>21:21</v>
      </c>
      <c r="L100" s="184" t="str">
        <f>H100</f>
        <v>№46</v>
      </c>
      <c r="M100" s="191">
        <f t="shared" si="237"/>
        <v>11.449999999953434</v>
      </c>
      <c r="N100" s="61"/>
      <c r="P100" s="169" t="s">
        <v>962</v>
      </c>
      <c r="Q100" s="185">
        <v>11.800000000046566</v>
      </c>
      <c r="R100" s="192">
        <f>Q100-Q100</f>
        <v>0</v>
      </c>
    </row>
    <row r="101" spans="1:18" s="62" customFormat="1" ht="18" customHeight="1" thickBot="1">
      <c r="A101" s="123" t="s">
        <v>16</v>
      </c>
      <c r="B101" s="124"/>
      <c r="C101" s="166">
        <f>Пробеги!E54</f>
        <v>12802</v>
      </c>
      <c r="D101" s="167">
        <f>C101*2</f>
        <v>25604</v>
      </c>
      <c r="E101" s="168">
        <f>DAY(EOMONTH($S$427,0))*24-M101-R101</f>
        <v>726.33333333343035</v>
      </c>
      <c r="F101" s="109"/>
      <c r="G101" s="108"/>
      <c r="H101" s="107"/>
      <c r="I101" s="107"/>
      <c r="J101" s="107"/>
      <c r="K101" s="107"/>
      <c r="L101" s="107"/>
      <c r="M101" s="168">
        <f>SUM(M97:M100)</f>
        <v>15.416666666627862</v>
      </c>
      <c r="N101" s="61"/>
      <c r="P101" s="241"/>
      <c r="Q101" s="242">
        <f>SUM(Q97:Q100)</f>
        <v>15.116666666697711</v>
      </c>
      <c r="R101" s="242">
        <f>SUM(R97:R100)</f>
        <v>2.2499999999417923</v>
      </c>
    </row>
    <row r="102" spans="1:18" s="62" customFormat="1" ht="18" customHeight="1">
      <c r="A102" s="189">
        <v>1</v>
      </c>
      <c r="B102" s="190">
        <v>1610</v>
      </c>
      <c r="C102" s="184"/>
      <c r="D102" s="200"/>
      <c r="E102" s="191"/>
      <c r="F102" s="169" t="s">
        <v>95</v>
      </c>
      <c r="G102" s="193" t="str">
        <f t="shared" ref="G102:G103" si="239">RIGHT(F102,5)</f>
        <v>14:55</v>
      </c>
      <c r="H102" s="243" t="s">
        <v>495</v>
      </c>
      <c r="I102" s="184" t="s">
        <v>51</v>
      </c>
      <c r="J102" s="169" t="s">
        <v>96</v>
      </c>
      <c r="K102" s="193" t="str">
        <f t="shared" ref="K102:K103" si="240">RIGHT(J102,5)</f>
        <v>15:32</v>
      </c>
      <c r="L102" s="184" t="str">
        <f t="shared" ref="L102:L103" si="241">H102</f>
        <v>№РЦ14/21</v>
      </c>
      <c r="M102" s="191">
        <f t="shared" ref="M102:M103" si="242">(J102-F102)*24</f>
        <v>0.61666666658129543</v>
      </c>
      <c r="N102" s="61"/>
      <c r="P102" s="169" t="s">
        <v>94</v>
      </c>
      <c r="Q102" s="185">
        <f t="shared" ref="Q102:Q103" si="243">(F102-P102)*24</f>
        <v>11.683333333348855</v>
      </c>
      <c r="R102" s="384">
        <v>0</v>
      </c>
    </row>
    <row r="103" spans="1:18" s="62" customFormat="1" ht="18" customHeight="1">
      <c r="A103" s="268">
        <v>2</v>
      </c>
      <c r="B103" s="190">
        <v>1610</v>
      </c>
      <c r="C103" s="269"/>
      <c r="D103" s="270"/>
      <c r="E103" s="271"/>
      <c r="F103" s="169" t="s">
        <v>171</v>
      </c>
      <c r="G103" s="193" t="str">
        <f t="shared" si="239"/>
        <v>04:06</v>
      </c>
      <c r="H103" s="243" t="s">
        <v>287</v>
      </c>
      <c r="I103" s="184" t="s">
        <v>15</v>
      </c>
      <c r="J103" s="169" t="s">
        <v>172</v>
      </c>
      <c r="K103" s="193" t="str">
        <f t="shared" si="240"/>
        <v>05:32</v>
      </c>
      <c r="L103" s="184" t="str">
        <f t="shared" si="241"/>
        <v>№503</v>
      </c>
      <c r="M103" s="191">
        <f t="shared" si="242"/>
        <v>1.4333333334652707</v>
      </c>
      <c r="N103" s="61"/>
      <c r="P103" s="169" t="s">
        <v>170</v>
      </c>
      <c r="Q103" s="185">
        <f t="shared" si="243"/>
        <v>4.3666666665812954</v>
      </c>
      <c r="R103" s="192">
        <f>Q103-1</f>
        <v>3.3666666665812954</v>
      </c>
    </row>
    <row r="104" spans="1:18" s="62" customFormat="1" ht="18" customHeight="1">
      <c r="A104" s="370">
        <v>3</v>
      </c>
      <c r="B104" s="190">
        <v>1610</v>
      </c>
      <c r="C104" s="366"/>
      <c r="D104" s="375"/>
      <c r="E104" s="367"/>
      <c r="F104" s="169" t="s">
        <v>506</v>
      </c>
      <c r="G104" s="193" t="str">
        <f t="shared" ref="G104" si="244">RIGHT(F104,5)</f>
        <v>08:25</v>
      </c>
      <c r="H104" s="243" t="s">
        <v>519</v>
      </c>
      <c r="I104" s="184" t="s">
        <v>15</v>
      </c>
      <c r="J104" s="169" t="s">
        <v>507</v>
      </c>
      <c r="K104" s="193" t="str">
        <f t="shared" ref="K104" si="245">RIGHT(J104,5)</f>
        <v>09:40</v>
      </c>
      <c r="L104" s="184" t="str">
        <f>H104</f>
        <v>№572</v>
      </c>
      <c r="M104" s="191">
        <f t="shared" ref="M104" si="246">(J104-F104)*24</f>
        <v>1.2500000000582077</v>
      </c>
      <c r="N104" s="61"/>
      <c r="P104" s="169" t="s">
        <v>437</v>
      </c>
      <c r="Q104" s="185">
        <f t="shared" ref="Q104" si="247">(F104-P104)*24</f>
        <v>2.3999999999650754</v>
      </c>
      <c r="R104" s="192">
        <f>Q104-1</f>
        <v>1.3999999999650754</v>
      </c>
    </row>
    <row r="105" spans="1:18" s="62" customFormat="1" ht="18" customHeight="1">
      <c r="A105" s="470">
        <v>4</v>
      </c>
      <c r="B105" s="190">
        <v>1610</v>
      </c>
      <c r="C105" s="471"/>
      <c r="D105" s="472"/>
      <c r="E105" s="473"/>
      <c r="F105" s="169" t="s">
        <v>782</v>
      </c>
      <c r="G105" s="193" t="str">
        <f t="shared" ref="G105:G106" si="248">RIGHT(F105,5)</f>
        <v>04:40</v>
      </c>
      <c r="H105" s="243" t="s">
        <v>811</v>
      </c>
      <c r="I105" s="184" t="s">
        <v>15</v>
      </c>
      <c r="J105" s="169" t="s">
        <v>783</v>
      </c>
      <c r="K105" s="193" t="str">
        <f t="shared" ref="K105:K106" si="249">RIGHT(J105,5)</f>
        <v>06:13</v>
      </c>
      <c r="L105" s="184" t="str">
        <f>H105</f>
        <v>№644</v>
      </c>
      <c r="M105" s="191">
        <f t="shared" ref="M105:M106" si="250">(J105-F105)*24</f>
        <v>1.5499999999883585</v>
      </c>
      <c r="N105" s="61"/>
      <c r="P105" s="169" t="s">
        <v>781</v>
      </c>
      <c r="Q105" s="185">
        <f t="shared" ref="Q105:Q106" si="251">(F105-P105)*24</f>
        <v>4.8666666666395031</v>
      </c>
      <c r="R105" s="192">
        <f>Q105-1</f>
        <v>3.8666666666395031</v>
      </c>
    </row>
    <row r="106" spans="1:18" s="62" customFormat="1" ht="18" customHeight="1" thickBot="1">
      <c r="A106" s="514">
        <v>5</v>
      </c>
      <c r="B106" s="190">
        <v>1610</v>
      </c>
      <c r="C106" s="515"/>
      <c r="D106" s="516"/>
      <c r="E106" s="517"/>
      <c r="F106" s="452" t="s">
        <v>1000</v>
      </c>
      <c r="G106" s="457" t="str">
        <f t="shared" si="248"/>
        <v>09:44</v>
      </c>
      <c r="H106" s="519" t="s">
        <v>999</v>
      </c>
      <c r="I106" s="520" t="s">
        <v>138</v>
      </c>
      <c r="J106" s="169" t="s">
        <v>1005</v>
      </c>
      <c r="K106" s="193" t="str">
        <f t="shared" si="249"/>
        <v>18:51</v>
      </c>
      <c r="L106" s="184" t="str">
        <f t="shared" ref="L106" si="252">H106</f>
        <v>№47</v>
      </c>
      <c r="M106" s="191">
        <f t="shared" si="250"/>
        <v>9.1166666666977108</v>
      </c>
      <c r="N106" s="61"/>
      <c r="P106" s="169" t="s">
        <v>1007</v>
      </c>
      <c r="Q106" s="185">
        <f t="shared" si="251"/>
        <v>16.749999999941792</v>
      </c>
      <c r="R106" s="192">
        <f>Q106-Q106</f>
        <v>0</v>
      </c>
    </row>
    <row r="107" spans="1:18" s="62" customFormat="1" ht="18" customHeight="1" thickBot="1">
      <c r="A107" s="123" t="s">
        <v>16</v>
      </c>
      <c r="B107" s="124"/>
      <c r="C107" s="166">
        <f>Пробеги!E56</f>
        <v>14418</v>
      </c>
      <c r="D107" s="167">
        <f>C107*2</f>
        <v>28836</v>
      </c>
      <c r="E107" s="168">
        <f>DAY(EOMONTH($S$427,0))*24-M107-R107</f>
        <v>721.40000000002328</v>
      </c>
      <c r="F107" s="109"/>
      <c r="G107" s="108"/>
      <c r="H107" s="107"/>
      <c r="I107" s="107"/>
      <c r="J107" s="107"/>
      <c r="K107" s="107"/>
      <c r="L107" s="107"/>
      <c r="M107" s="168">
        <f>SUM(M102:M106)</f>
        <v>13.966666666790843</v>
      </c>
      <c r="N107" s="61"/>
      <c r="P107" s="171"/>
      <c r="Q107" s="170">
        <f>SUM(Q102:Q106)</f>
        <v>40.066666666476522</v>
      </c>
      <c r="R107" s="170">
        <f>SUM(R102:R106)</f>
        <v>8.6333333331858739</v>
      </c>
    </row>
    <row r="108" spans="1:18" s="62" customFormat="1" ht="18" customHeight="1">
      <c r="A108" s="189">
        <v>1</v>
      </c>
      <c r="B108" s="190">
        <v>1611</v>
      </c>
      <c r="C108" s="184"/>
      <c r="D108" s="200"/>
      <c r="E108" s="191"/>
      <c r="F108" s="169" t="s">
        <v>106</v>
      </c>
      <c r="G108" s="193" t="str">
        <f t="shared" ref="G108" si="253">RIGHT(F108,5)</f>
        <v>08:36</v>
      </c>
      <c r="H108" s="243" t="s">
        <v>154</v>
      </c>
      <c r="I108" s="184" t="s">
        <v>15</v>
      </c>
      <c r="J108" s="169" t="s">
        <v>107</v>
      </c>
      <c r="K108" s="193" t="str">
        <f t="shared" ref="K108" si="254">RIGHT(J108,5)</f>
        <v>09:37</v>
      </c>
      <c r="L108" s="184" t="str">
        <f t="shared" ref="L108" si="255">H108</f>
        <v>№480</v>
      </c>
      <c r="M108" s="191">
        <f t="shared" ref="M108" si="256">(J108-F108)*24</f>
        <v>1.0166666666627862</v>
      </c>
      <c r="N108" s="61"/>
      <c r="P108" s="169" t="s">
        <v>105</v>
      </c>
      <c r="Q108" s="185">
        <f t="shared" ref="Q108" si="257">(F108-P108)*24</f>
        <v>3.3333333267364651E-2</v>
      </c>
      <c r="R108" s="192">
        <f>Q108-Q108</f>
        <v>0</v>
      </c>
    </row>
    <row r="109" spans="1:18" s="62" customFormat="1" ht="18" customHeight="1">
      <c r="A109" s="296">
        <v>2</v>
      </c>
      <c r="B109" s="190">
        <v>1611</v>
      </c>
      <c r="C109" s="289"/>
      <c r="D109" s="297"/>
      <c r="E109" s="290"/>
      <c r="F109" s="169" t="s">
        <v>213</v>
      </c>
      <c r="G109" s="193" t="str">
        <f t="shared" ref="G109" si="258">RIGHT(F109,5)</f>
        <v>22:48</v>
      </c>
      <c r="H109" s="243" t="s">
        <v>398</v>
      </c>
      <c r="I109" s="184" t="s">
        <v>15</v>
      </c>
      <c r="J109" s="169" t="s">
        <v>214</v>
      </c>
      <c r="K109" s="193" t="str">
        <f t="shared" ref="K109" si="259">RIGHT(J109,5)</f>
        <v>00:05</v>
      </c>
      <c r="L109" s="184" t="str">
        <f t="shared" ref="L109" si="260">H109</f>
        <v>№529</v>
      </c>
      <c r="M109" s="191">
        <f t="shared" ref="M109" si="261">(J109-F109)*24</f>
        <v>1.2833333333255723</v>
      </c>
      <c r="N109" s="61"/>
      <c r="O109" s="187"/>
      <c r="P109" s="169" t="s">
        <v>212</v>
      </c>
      <c r="Q109" s="185">
        <f t="shared" ref="Q109" si="262">(F109-P109)*24</f>
        <v>9.9999999976716936E-2</v>
      </c>
      <c r="R109" s="192">
        <f>Q109-Q109</f>
        <v>0</v>
      </c>
    </row>
    <row r="110" spans="1:18" s="62" customFormat="1" ht="18" customHeight="1">
      <c r="A110" s="445">
        <v>3</v>
      </c>
      <c r="B110" s="190">
        <v>1611</v>
      </c>
      <c r="C110" s="443"/>
      <c r="D110" s="446"/>
      <c r="E110" s="444"/>
      <c r="F110" s="169" t="s">
        <v>610</v>
      </c>
      <c r="G110" s="193" t="str">
        <f t="shared" ref="G110:G111" si="263">RIGHT(F110,5)</f>
        <v>16:54</v>
      </c>
      <c r="H110" s="243" t="s">
        <v>720</v>
      </c>
      <c r="I110" s="184" t="s">
        <v>15</v>
      </c>
      <c r="J110" s="169" t="s">
        <v>611</v>
      </c>
      <c r="K110" s="193" t="str">
        <f t="shared" ref="K110:K111" si="264">RIGHT(J110,5)</f>
        <v>18:07</v>
      </c>
      <c r="L110" s="184" t="str">
        <f t="shared" ref="L110:L111" si="265">H110</f>
        <v>№607</v>
      </c>
      <c r="M110" s="191">
        <f t="shared" ref="M110:M111" si="266">(J110-F110)*24</f>
        <v>1.21666666661622</v>
      </c>
      <c r="N110" s="61"/>
      <c r="P110" s="169" t="s">
        <v>553</v>
      </c>
      <c r="Q110" s="185">
        <f t="shared" ref="Q110:Q111" si="267">(F110-P110)*24</f>
        <v>61.550000000162981</v>
      </c>
      <c r="R110" s="192">
        <v>0</v>
      </c>
    </row>
    <row r="111" spans="1:18" s="62" customFormat="1" ht="18" customHeight="1" thickBot="1">
      <c r="A111" s="486">
        <v>4</v>
      </c>
      <c r="B111" s="190">
        <v>1611</v>
      </c>
      <c r="C111" s="490"/>
      <c r="D111" s="495"/>
      <c r="E111" s="489"/>
      <c r="F111" s="169" t="s">
        <v>881</v>
      </c>
      <c r="G111" s="193" t="str">
        <f t="shared" si="263"/>
        <v>01:55</v>
      </c>
      <c r="H111" s="243" t="s">
        <v>1002</v>
      </c>
      <c r="I111" s="184" t="s">
        <v>51</v>
      </c>
      <c r="J111" s="169" t="s">
        <v>882</v>
      </c>
      <c r="K111" s="193" t="str">
        <f t="shared" si="264"/>
        <v>05:59</v>
      </c>
      <c r="L111" s="184" t="str">
        <f t="shared" si="265"/>
        <v>№РЦ14/34</v>
      </c>
      <c r="M111" s="191">
        <f t="shared" si="266"/>
        <v>4.0666666666511446</v>
      </c>
      <c r="N111" s="61"/>
      <c r="P111" s="169" t="s">
        <v>880</v>
      </c>
      <c r="Q111" s="185">
        <f t="shared" si="267"/>
        <v>3.0999999999767169</v>
      </c>
      <c r="R111" s="192">
        <v>0</v>
      </c>
    </row>
    <row r="112" spans="1:18" s="62" customFormat="1" ht="18" customHeight="1" thickBot="1">
      <c r="A112" s="123" t="s">
        <v>16</v>
      </c>
      <c r="B112" s="124"/>
      <c r="C112" s="166">
        <f>Пробеги!E58</f>
        <v>14909</v>
      </c>
      <c r="D112" s="167">
        <f>C112*2</f>
        <v>29818</v>
      </c>
      <c r="E112" s="168">
        <f>DAY(EOMONTH($S$427,0))*24-M112-R112</f>
        <v>736.41666666674428</v>
      </c>
      <c r="F112" s="109"/>
      <c r="G112" s="108"/>
      <c r="H112" s="124"/>
      <c r="I112" s="124"/>
      <c r="J112" s="124"/>
      <c r="K112" s="124"/>
      <c r="L112" s="124"/>
      <c r="M112" s="168">
        <f>SUM(M108:M111)</f>
        <v>7.5833333332557231</v>
      </c>
      <c r="N112" s="61"/>
      <c r="O112" s="187"/>
      <c r="P112" s="171"/>
      <c r="Q112" s="170">
        <f>SUM(Q108:Q111)</f>
        <v>64.78333333338378</v>
      </c>
      <c r="R112" s="170">
        <f>SUM(R108:R111)</f>
        <v>0</v>
      </c>
    </row>
    <row r="113" spans="1:18" s="62" customFormat="1" ht="18" customHeight="1">
      <c r="A113" s="189">
        <v>1</v>
      </c>
      <c r="B113" s="190">
        <v>1612</v>
      </c>
      <c r="C113" s="184"/>
      <c r="D113" s="200"/>
      <c r="E113" s="191"/>
      <c r="F113" s="169" t="s">
        <v>65</v>
      </c>
      <c r="G113" s="193" t="str">
        <f t="shared" ref="G113" si="268">RIGHT(F113,5)</f>
        <v>05:36</v>
      </c>
      <c r="H113" s="243" t="s">
        <v>155</v>
      </c>
      <c r="I113" s="184" t="s">
        <v>15</v>
      </c>
      <c r="J113" s="169" t="s">
        <v>66</v>
      </c>
      <c r="K113" s="193" t="str">
        <f t="shared" ref="K113" si="269">RIGHT(J113,5)</f>
        <v>06:37</v>
      </c>
      <c r="L113" s="184" t="str">
        <f t="shared" ref="L113" si="270">H113</f>
        <v>№475</v>
      </c>
      <c r="M113" s="191">
        <f t="shared" ref="M113" si="271">(J113-F113)*24</f>
        <v>1.0166666666627862</v>
      </c>
      <c r="N113" s="61"/>
      <c r="P113" s="169" t="s">
        <v>64</v>
      </c>
      <c r="Q113" s="185">
        <f t="shared" ref="Q113" si="272">(F113-P113)*24</f>
        <v>4.1666666666278616</v>
      </c>
      <c r="R113" s="192">
        <f>Q113-1</f>
        <v>3.1666666666278616</v>
      </c>
    </row>
    <row r="114" spans="1:18" s="62" customFormat="1" ht="18" customHeight="1">
      <c r="A114" s="337">
        <v>2</v>
      </c>
      <c r="B114" s="190">
        <v>1612</v>
      </c>
      <c r="C114" s="335"/>
      <c r="D114" s="338"/>
      <c r="E114" s="336"/>
      <c r="F114" s="169" t="s">
        <v>327</v>
      </c>
      <c r="G114" s="193" t="str">
        <f t="shared" ref="G114" si="273">RIGHT(F114,5)</f>
        <v>09:54</v>
      </c>
      <c r="H114" s="243" t="s">
        <v>399</v>
      </c>
      <c r="I114" s="184" t="s">
        <v>15</v>
      </c>
      <c r="J114" s="169" t="s">
        <v>328</v>
      </c>
      <c r="K114" s="193" t="str">
        <f t="shared" ref="K114" si="274">RIGHT(J114,5)</f>
        <v>10:57</v>
      </c>
      <c r="L114" s="184" t="str">
        <f t="shared" ref="L114" si="275">H114</f>
        <v>№536</v>
      </c>
      <c r="M114" s="191">
        <f t="shared" ref="M114" si="276">(J114-F114)*24</f>
        <v>1.0500000001047738</v>
      </c>
      <c r="N114" s="61"/>
      <c r="P114" s="169" t="s">
        <v>326</v>
      </c>
      <c r="Q114" s="185">
        <f t="shared" ref="Q114" si="277">(F114-P114)*24</f>
        <v>4.3000000000465661</v>
      </c>
      <c r="R114" s="192">
        <f>Q114-1</f>
        <v>3.3000000000465661</v>
      </c>
    </row>
    <row r="115" spans="1:18" s="62" customFormat="1" ht="18" customHeight="1">
      <c r="A115" s="451">
        <v>3</v>
      </c>
      <c r="B115" s="190">
        <v>1612</v>
      </c>
      <c r="C115" s="449"/>
      <c r="D115" s="463"/>
      <c r="E115" s="450"/>
      <c r="F115" s="169" t="s">
        <v>613</v>
      </c>
      <c r="G115" s="193" t="str">
        <f t="shared" ref="G115" si="278">RIGHT(F115,5)</f>
        <v>01:00</v>
      </c>
      <c r="H115" s="243" t="s">
        <v>721</v>
      </c>
      <c r="I115" s="184" t="s">
        <v>15</v>
      </c>
      <c r="J115" s="169" t="s">
        <v>614</v>
      </c>
      <c r="K115" s="193" t="str">
        <f t="shared" ref="K115" si="279">RIGHT(J115,5)</f>
        <v>02:05</v>
      </c>
      <c r="L115" s="184" t="str">
        <f t="shared" ref="L115" si="280">H115</f>
        <v>№599</v>
      </c>
      <c r="M115" s="191">
        <f t="shared" ref="M115" si="281">(J115-F115)*24</f>
        <v>1.0833333333721384</v>
      </c>
      <c r="N115" s="61"/>
      <c r="P115" s="169" t="s">
        <v>612</v>
      </c>
      <c r="Q115" s="185">
        <f t="shared" ref="Q115" si="282">(F115-P115)*24</f>
        <v>3.0666666665347293</v>
      </c>
      <c r="R115" s="192">
        <f>Q115-1</f>
        <v>2.0666666665347293</v>
      </c>
    </row>
    <row r="116" spans="1:18" s="62" customFormat="1" ht="18" customHeight="1" thickBot="1">
      <c r="A116" s="486">
        <v>4</v>
      </c>
      <c r="B116" s="190">
        <v>1612</v>
      </c>
      <c r="C116" s="490"/>
      <c r="D116" s="495"/>
      <c r="E116" s="489"/>
      <c r="F116" s="169" t="s">
        <v>884</v>
      </c>
      <c r="G116" s="193" t="str">
        <f t="shared" ref="G116" si="283">RIGHT(F116,5)</f>
        <v>12:46</v>
      </c>
      <c r="H116" s="243" t="s">
        <v>941</v>
      </c>
      <c r="I116" s="184" t="s">
        <v>15</v>
      </c>
      <c r="J116" s="169" t="s">
        <v>885</v>
      </c>
      <c r="K116" s="193" t="str">
        <f t="shared" ref="K116" si="284">RIGHT(J116,5)</f>
        <v>13:57</v>
      </c>
      <c r="L116" s="184" t="str">
        <f t="shared" ref="L116" si="285">H116</f>
        <v>№670</v>
      </c>
      <c r="M116" s="191">
        <f t="shared" ref="M116" si="286">(J116-F116)*24</f>
        <v>1.1833333333488554</v>
      </c>
      <c r="N116" s="61"/>
      <c r="P116" s="169" t="s">
        <v>883</v>
      </c>
      <c r="Q116" s="185">
        <f t="shared" ref="Q116" si="287">(F116-P116)*24</f>
        <v>0.43333333334885538</v>
      </c>
      <c r="R116" s="192">
        <f>Q116-Q116</f>
        <v>0</v>
      </c>
    </row>
    <row r="117" spans="1:18" s="62" customFormat="1" ht="18" customHeight="1" thickBot="1">
      <c r="A117" s="123" t="s">
        <v>16</v>
      </c>
      <c r="B117" s="124"/>
      <c r="C117" s="166">
        <f>Пробеги!E60</f>
        <v>15210</v>
      </c>
      <c r="D117" s="167">
        <f>C117*2</f>
        <v>30420</v>
      </c>
      <c r="E117" s="168">
        <f>DAY(EOMONTH($S$427,0))*24-M117-R117</f>
        <v>731.13333333330229</v>
      </c>
      <c r="F117" s="109"/>
      <c r="G117" s="108"/>
      <c r="H117" s="107"/>
      <c r="I117" s="107"/>
      <c r="J117" s="107"/>
      <c r="K117" s="107"/>
      <c r="L117" s="107"/>
      <c r="M117" s="168">
        <f>SUM(M113:M116)</f>
        <v>4.3333333334885538</v>
      </c>
      <c r="N117" s="61"/>
      <c r="P117" s="171"/>
      <c r="Q117" s="170">
        <f>SUM(Q113:Q116)</f>
        <v>11.966666666558012</v>
      </c>
      <c r="R117" s="170">
        <f>SUM(R113:R116)</f>
        <v>8.533333333209157</v>
      </c>
    </row>
    <row r="118" spans="1:18" s="62" customFormat="1" ht="18" customHeight="1">
      <c r="A118" s="189">
        <v>1</v>
      </c>
      <c r="B118" s="190">
        <v>1613</v>
      </c>
      <c r="C118" s="184"/>
      <c r="D118" s="200"/>
      <c r="E118" s="191"/>
      <c r="F118" s="169" t="s">
        <v>68</v>
      </c>
      <c r="G118" s="193" t="str">
        <f t="shared" ref="G118" si="288">RIGHT(F118,5)</f>
        <v>14:53</v>
      </c>
      <c r="H118" s="243" t="s">
        <v>101</v>
      </c>
      <c r="I118" s="184" t="s">
        <v>15</v>
      </c>
      <c r="J118" s="169" t="s">
        <v>69</v>
      </c>
      <c r="K118" s="193" t="str">
        <f t="shared" ref="K118" si="289">RIGHT(J118,5)</f>
        <v>16:15</v>
      </c>
      <c r="L118" s="184" t="str">
        <f t="shared" ref="L118" si="290">H118</f>
        <v>№469</v>
      </c>
      <c r="M118" s="191">
        <f t="shared" ref="M118" si="291">(J118-F118)*24</f>
        <v>1.3666666667559184</v>
      </c>
      <c r="N118" s="61"/>
      <c r="P118" s="169" t="s">
        <v>67</v>
      </c>
      <c r="Q118" s="185">
        <f t="shared" ref="Q118" si="292">(F118-P118)*24</f>
        <v>11.916666666569654</v>
      </c>
      <c r="R118" s="192">
        <f>Q118-1</f>
        <v>10.916666666569654</v>
      </c>
    </row>
    <row r="119" spans="1:18" s="62" customFormat="1" ht="18" customHeight="1">
      <c r="A119" s="296">
        <v>2</v>
      </c>
      <c r="B119" s="190">
        <v>1613</v>
      </c>
      <c r="C119" s="289"/>
      <c r="D119" s="297"/>
      <c r="E119" s="290"/>
      <c r="F119" s="169" t="s">
        <v>193</v>
      </c>
      <c r="G119" s="193" t="str">
        <f t="shared" ref="G119" si="293">RIGHT(F119,5)</f>
        <v>18:40</v>
      </c>
      <c r="H119" s="243" t="s">
        <v>823</v>
      </c>
      <c r="I119" s="184" t="s">
        <v>15</v>
      </c>
      <c r="J119" s="169" t="s">
        <v>216</v>
      </c>
      <c r="K119" s="193" t="str">
        <f t="shared" ref="K119" si="294">RIGHT(J119,5)</f>
        <v>20:00</v>
      </c>
      <c r="L119" s="184" t="str">
        <f>H119</f>
        <v>№647</v>
      </c>
      <c r="M119" s="191">
        <f t="shared" ref="M119" si="295">(J119-F119)*24</f>
        <v>1.3333333333139308</v>
      </c>
      <c r="N119" s="61"/>
      <c r="P119" s="169" t="s">
        <v>215</v>
      </c>
      <c r="Q119" s="185">
        <f t="shared" ref="Q119" si="296">(F119-P119)*24</f>
        <v>4.4333333334652707</v>
      </c>
      <c r="R119" s="192">
        <f>Q119-1</f>
        <v>3.4333333334652707</v>
      </c>
    </row>
    <row r="120" spans="1:18" s="62" customFormat="1" ht="18" customHeight="1">
      <c r="A120" s="445">
        <v>3</v>
      </c>
      <c r="B120" s="190">
        <v>1613</v>
      </c>
      <c r="C120" s="443"/>
      <c r="D120" s="446"/>
      <c r="E120" s="444"/>
      <c r="F120" s="169" t="s">
        <v>555</v>
      </c>
      <c r="G120" s="193" t="str">
        <f t="shared" ref="G120" si="297">RIGHT(F120,5)</f>
        <v>01:47</v>
      </c>
      <c r="H120" s="243" t="s">
        <v>722</v>
      </c>
      <c r="I120" s="184" t="s">
        <v>15</v>
      </c>
      <c r="J120" s="169" t="s">
        <v>556</v>
      </c>
      <c r="K120" s="193" t="str">
        <f t="shared" ref="K120" si="298">RIGHT(J120,5)</f>
        <v>02:56</v>
      </c>
      <c r="L120" s="184" t="str">
        <f>H120</f>
        <v>№586</v>
      </c>
      <c r="M120" s="191">
        <f t="shared" ref="M120" si="299">(J120-F120)*24</f>
        <v>1.1499999999068677</v>
      </c>
      <c r="N120" s="61"/>
      <c r="P120" s="169" t="s">
        <v>554</v>
      </c>
      <c r="Q120" s="185">
        <f t="shared" ref="Q120" si="300">(F120-P120)*24</f>
        <v>5.9500000000116415</v>
      </c>
      <c r="R120" s="192">
        <f>Q120-1</f>
        <v>4.9500000000116415</v>
      </c>
    </row>
    <row r="121" spans="1:18" s="62" customFormat="1" ht="18" customHeight="1" thickBot="1">
      <c r="A121" s="486">
        <v>4</v>
      </c>
      <c r="B121" s="190">
        <v>1613</v>
      </c>
      <c r="C121" s="490"/>
      <c r="D121" s="495"/>
      <c r="E121" s="489"/>
      <c r="F121" s="169" t="s">
        <v>887</v>
      </c>
      <c r="G121" s="193" t="str">
        <f t="shared" ref="G121" si="301">RIGHT(F121,5)</f>
        <v>14:01</v>
      </c>
      <c r="H121" s="243" t="s">
        <v>942</v>
      </c>
      <c r="I121" s="184" t="s">
        <v>15</v>
      </c>
      <c r="J121" s="169" t="s">
        <v>888</v>
      </c>
      <c r="K121" s="193" t="str">
        <f t="shared" ref="K121" si="302">RIGHT(J121,5)</f>
        <v>15:16</v>
      </c>
      <c r="L121" s="184" t="str">
        <f>H121</f>
        <v>№662</v>
      </c>
      <c r="M121" s="191">
        <f t="shared" ref="M121" si="303">(J121-F121)*24</f>
        <v>1.2500000000582077</v>
      </c>
      <c r="N121" s="61"/>
      <c r="P121" s="169" t="s">
        <v>886</v>
      </c>
      <c r="Q121" s="185">
        <f t="shared" ref="Q121" si="304">(F121-P121)*24</f>
        <v>0.68333333329064772</v>
      </c>
      <c r="R121" s="192">
        <f>Q121-Q121</f>
        <v>0</v>
      </c>
    </row>
    <row r="122" spans="1:18" s="62" customFormat="1" ht="18" customHeight="1" thickBot="1">
      <c r="A122" s="123" t="s">
        <v>16</v>
      </c>
      <c r="B122" s="124"/>
      <c r="C122" s="166">
        <f>Пробеги!E62</f>
        <v>13466</v>
      </c>
      <c r="D122" s="167">
        <f>C122*2</f>
        <v>26932</v>
      </c>
      <c r="E122" s="168">
        <f>DAY(EOMONTH($S$427,0))*24-M122-R122</f>
        <v>719.59999999991851</v>
      </c>
      <c r="F122" s="109"/>
      <c r="G122" s="108"/>
      <c r="H122" s="107"/>
      <c r="I122" s="107"/>
      <c r="J122" s="298"/>
      <c r="K122" s="107"/>
      <c r="L122" s="107"/>
      <c r="M122" s="168">
        <f>SUM(M118:M121)</f>
        <v>5.1000000000349246</v>
      </c>
      <c r="N122" s="61"/>
      <c r="P122" s="171"/>
      <c r="Q122" s="170">
        <f>SUM(Q118:Q121)</f>
        <v>22.983333333337214</v>
      </c>
      <c r="R122" s="170">
        <f>SUM(R118:R121)</f>
        <v>19.300000000046566</v>
      </c>
    </row>
    <row r="123" spans="1:18" s="62" customFormat="1" ht="18" customHeight="1">
      <c r="A123" s="189">
        <v>1</v>
      </c>
      <c r="B123" s="190">
        <v>1614</v>
      </c>
      <c r="C123" s="184"/>
      <c r="D123" s="200"/>
      <c r="E123" s="191"/>
      <c r="F123" s="169" t="s">
        <v>218</v>
      </c>
      <c r="G123" s="193" t="str">
        <f t="shared" ref="G123" si="305">RIGHT(F123,5)</f>
        <v>18:40</v>
      </c>
      <c r="H123" s="243" t="s">
        <v>288</v>
      </c>
      <c r="I123" s="184" t="s">
        <v>15</v>
      </c>
      <c r="J123" s="169" t="s">
        <v>219</v>
      </c>
      <c r="K123" s="193" t="str">
        <f t="shared" ref="K123" si="306">RIGHT(J123,5)</f>
        <v>19:47</v>
      </c>
      <c r="L123" s="184" t="str">
        <f t="shared" ref="L123" si="307">H123</f>
        <v>№510</v>
      </c>
      <c r="M123" s="191">
        <f t="shared" ref="M123" si="308">(J123-F123)*24</f>
        <v>1.1166666666395031</v>
      </c>
      <c r="N123" s="61"/>
      <c r="P123" s="169" t="s">
        <v>217</v>
      </c>
      <c r="Q123" s="185">
        <f t="shared" ref="Q123" si="309">(F123-P123)*24</f>
        <v>1.8833333333604969</v>
      </c>
      <c r="R123" s="192">
        <f>Q123-1</f>
        <v>0.88333333336049691</v>
      </c>
    </row>
    <row r="124" spans="1:18" s="62" customFormat="1" ht="18" customHeight="1">
      <c r="A124" s="403">
        <v>2</v>
      </c>
      <c r="B124" s="190">
        <v>1614</v>
      </c>
      <c r="C124" s="401"/>
      <c r="D124" s="404"/>
      <c r="E124" s="402"/>
      <c r="F124" s="169" t="s">
        <v>504</v>
      </c>
      <c r="G124" s="193" t="str">
        <f t="shared" ref="G124" si="310">RIGHT(F124,5)</f>
        <v>11:40</v>
      </c>
      <c r="H124" s="243" t="s">
        <v>520</v>
      </c>
      <c r="I124" s="184" t="s">
        <v>15</v>
      </c>
      <c r="J124" s="169" t="s">
        <v>505</v>
      </c>
      <c r="K124" s="193" t="str">
        <f t="shared" ref="K124" si="311">RIGHT(J124,5)</f>
        <v>12:53</v>
      </c>
      <c r="L124" s="184" t="str">
        <f t="shared" ref="L124" si="312">H124</f>
        <v>№574</v>
      </c>
      <c r="M124" s="191">
        <f t="shared" ref="M124" si="313">(J124-F124)*24</f>
        <v>1.216666666790843</v>
      </c>
      <c r="N124" s="61"/>
      <c r="P124" s="169" t="s">
        <v>503</v>
      </c>
      <c r="Q124" s="185">
        <f t="shared" ref="Q124" si="314">(F124-P124)*24</f>
        <v>3.1666666666860692</v>
      </c>
      <c r="R124" s="192">
        <f>Q124-1</f>
        <v>2.1666666666860692</v>
      </c>
    </row>
    <row r="125" spans="1:18" s="62" customFormat="1" ht="18" customHeight="1" thickBot="1">
      <c r="A125" s="470">
        <v>3</v>
      </c>
      <c r="B125" s="190">
        <v>1614</v>
      </c>
      <c r="C125" s="471"/>
      <c r="D125" s="472"/>
      <c r="E125" s="473"/>
      <c r="F125" s="169" t="s">
        <v>785</v>
      </c>
      <c r="G125" s="193" t="str">
        <f t="shared" ref="G125" si="315">RIGHT(F125,5)</f>
        <v>17:38</v>
      </c>
      <c r="H125" s="243" t="s">
        <v>808</v>
      </c>
      <c r="I125" s="184" t="s">
        <v>15</v>
      </c>
      <c r="J125" s="169" t="s">
        <v>786</v>
      </c>
      <c r="K125" s="193" t="str">
        <f t="shared" ref="K125" si="316">RIGHT(J125,5)</f>
        <v>19:03</v>
      </c>
      <c r="L125" s="184" t="str">
        <f t="shared" ref="L125" si="317">H125</f>
        <v>№640</v>
      </c>
      <c r="M125" s="191">
        <f t="shared" ref="M125" si="318">(J125-F125)*24</f>
        <v>1.4166666665696539</v>
      </c>
      <c r="N125" s="61"/>
      <c r="P125" s="169" t="s">
        <v>784</v>
      </c>
      <c r="Q125" s="185">
        <f t="shared" ref="Q125" si="319">(F125-P125)*24</f>
        <v>6.0333333334419876</v>
      </c>
      <c r="R125" s="192">
        <f>Q125-1</f>
        <v>5.0333333334419876</v>
      </c>
    </row>
    <row r="126" spans="1:18" s="62" customFormat="1" ht="18" customHeight="1" thickBot="1">
      <c r="A126" s="123" t="s">
        <v>16</v>
      </c>
      <c r="B126" s="124"/>
      <c r="C126" s="166">
        <f>Пробеги!E64</f>
        <v>13111</v>
      </c>
      <c r="D126" s="167">
        <f>C126*2</f>
        <v>26222</v>
      </c>
      <c r="E126" s="168">
        <f>DAY(EOMONTH($S$427,0))*24-M126-R126</f>
        <v>732.16666666651145</v>
      </c>
      <c r="F126" s="109"/>
      <c r="G126" s="108"/>
      <c r="H126" s="107"/>
      <c r="I126" s="107"/>
      <c r="J126" s="107"/>
      <c r="K126" s="107"/>
      <c r="L126" s="107"/>
      <c r="M126" s="168">
        <f>SUM(M123:M125)</f>
        <v>3.75</v>
      </c>
      <c r="N126" s="61"/>
      <c r="P126" s="171"/>
      <c r="Q126" s="170">
        <f>SUM(Q123:Q125)</f>
        <v>11.083333333488554</v>
      </c>
      <c r="R126" s="170">
        <f>SUM(R123:R125)</f>
        <v>8.0833333334885538</v>
      </c>
    </row>
    <row r="127" spans="1:18" s="62" customFormat="1" ht="18" customHeight="1">
      <c r="A127" s="189">
        <v>1</v>
      </c>
      <c r="B127" s="190">
        <v>1615</v>
      </c>
      <c r="C127" s="184"/>
      <c r="D127" s="200"/>
      <c r="E127" s="191"/>
      <c r="F127" s="169" t="s">
        <v>135</v>
      </c>
      <c r="G127" s="193" t="str">
        <f t="shared" ref="G127" si="320">RIGHT(F127,5)</f>
        <v>18:06</v>
      </c>
      <c r="H127" s="243" t="s">
        <v>289</v>
      </c>
      <c r="I127" s="184" t="s">
        <v>15</v>
      </c>
      <c r="J127" s="169" t="s">
        <v>136</v>
      </c>
      <c r="K127" s="193" t="str">
        <f t="shared" ref="K127" si="321">RIGHT(J127,5)</f>
        <v>19:22</v>
      </c>
      <c r="L127" s="184" t="str">
        <f t="shared" ref="L127" si="322">H127</f>
        <v>№490</v>
      </c>
      <c r="M127" s="191">
        <f t="shared" ref="M127" si="323">(J127-F127)*24</f>
        <v>1.2666666666045785</v>
      </c>
      <c r="N127" s="61"/>
      <c r="P127" s="169" t="s">
        <v>134</v>
      </c>
      <c r="Q127" s="185">
        <f t="shared" ref="Q127" si="324">(F127-P127)*24</f>
        <v>4.8333333333721384</v>
      </c>
      <c r="R127" s="192">
        <f>Q127-1</f>
        <v>3.8333333333721384</v>
      </c>
    </row>
    <row r="128" spans="1:18" s="62" customFormat="1" ht="18" customHeight="1">
      <c r="A128" s="357">
        <v>2</v>
      </c>
      <c r="B128" s="190">
        <v>1615</v>
      </c>
      <c r="C128" s="355"/>
      <c r="D128" s="359"/>
      <c r="E128" s="356"/>
      <c r="F128" s="169" t="s">
        <v>414</v>
      </c>
      <c r="G128" s="193" t="str">
        <f t="shared" ref="G128" si="325">RIGHT(F128,5)</f>
        <v>10:10</v>
      </c>
      <c r="H128" s="243" t="s">
        <v>484</v>
      </c>
      <c r="I128" s="184" t="s">
        <v>15</v>
      </c>
      <c r="J128" s="169" t="s">
        <v>415</v>
      </c>
      <c r="K128" s="193" t="str">
        <f t="shared" ref="K128" si="326">RIGHT(J128,5)</f>
        <v>11:22</v>
      </c>
      <c r="L128" s="184" t="str">
        <f t="shared" ref="L128" si="327">H128</f>
        <v>№552</v>
      </c>
      <c r="M128" s="191">
        <f t="shared" ref="M128" si="328">(J128-F128)*24</f>
        <v>1.2000000000698492</v>
      </c>
      <c r="N128" s="61"/>
      <c r="P128" s="169" t="s">
        <v>380</v>
      </c>
      <c r="Q128" s="185">
        <f t="shared" ref="Q128" si="329">(F128-P128)*24</f>
        <v>2.7333333333372138</v>
      </c>
      <c r="R128" s="192">
        <f>Q128-1</f>
        <v>1.7333333333372138</v>
      </c>
    </row>
    <row r="129" spans="1:18" s="62" customFormat="1" ht="18" customHeight="1">
      <c r="A129" s="451">
        <v>3</v>
      </c>
      <c r="B129" s="190">
        <v>1615</v>
      </c>
      <c r="C129" s="449"/>
      <c r="D129" s="463"/>
      <c r="E129" s="450"/>
      <c r="F129" s="169" t="s">
        <v>616</v>
      </c>
      <c r="G129" s="193" t="str">
        <f t="shared" ref="G129" si="330">RIGHT(F129,5)</f>
        <v>11:13</v>
      </c>
      <c r="H129" s="243" t="s">
        <v>705</v>
      </c>
      <c r="I129" s="184" t="s">
        <v>15</v>
      </c>
      <c r="J129" s="169" t="s">
        <v>617</v>
      </c>
      <c r="K129" s="193" t="str">
        <f t="shared" ref="K129" si="331">RIGHT(J129,5)</f>
        <v>12:20</v>
      </c>
      <c r="L129" s="184" t="str">
        <f t="shared" ref="L129" si="332">H129</f>
        <v>№614</v>
      </c>
      <c r="M129" s="191">
        <f t="shared" ref="M129" si="333">(J129-F129)*24</f>
        <v>1.1166666666395031</v>
      </c>
      <c r="N129" s="61"/>
      <c r="P129" s="169" t="s">
        <v>615</v>
      </c>
      <c r="Q129" s="185">
        <f t="shared" ref="Q129" si="334">(F129-P129)*24</f>
        <v>1.8333333333721384</v>
      </c>
      <c r="R129" s="192">
        <f>Q129-1</f>
        <v>0.83333333337213844</v>
      </c>
    </row>
    <row r="130" spans="1:18" s="62" customFormat="1" ht="18" customHeight="1" thickBot="1">
      <c r="A130" s="500">
        <v>4</v>
      </c>
      <c r="B130" s="190">
        <v>1615</v>
      </c>
      <c r="C130" s="498"/>
      <c r="D130" s="501"/>
      <c r="E130" s="499"/>
      <c r="F130" s="169" t="s">
        <v>967</v>
      </c>
      <c r="G130" s="193" t="str">
        <f t="shared" ref="G130" si="335">RIGHT(F130,5)</f>
        <v>12:57</v>
      </c>
      <c r="H130" s="243" t="s">
        <v>982</v>
      </c>
      <c r="I130" s="184" t="s">
        <v>15</v>
      </c>
      <c r="J130" s="169" t="s">
        <v>968</v>
      </c>
      <c r="K130" s="193" t="str">
        <f t="shared" ref="K130" si="336">RIGHT(J130,5)</f>
        <v>14:06</v>
      </c>
      <c r="L130" s="184" t="str">
        <f t="shared" ref="L130" si="337">H130</f>
        <v>№678</v>
      </c>
      <c r="M130" s="191">
        <f t="shared" ref="M130" si="338">(J130-F130)*24</f>
        <v>1.1500000000814907</v>
      </c>
      <c r="N130" s="61"/>
      <c r="P130" s="169" t="s">
        <v>966</v>
      </c>
      <c r="Q130" s="185">
        <f t="shared" ref="Q130" si="339">(F130-P130)*24</f>
        <v>1.2999999998719431</v>
      </c>
      <c r="R130" s="192">
        <f>Q130-1</f>
        <v>0.29999999987194315</v>
      </c>
    </row>
    <row r="131" spans="1:18" s="62" customFormat="1" ht="18" customHeight="1" thickBot="1">
      <c r="A131" s="123" t="s">
        <v>16</v>
      </c>
      <c r="B131" s="124"/>
      <c r="C131" s="166">
        <f>Пробеги!E66</f>
        <v>15963</v>
      </c>
      <c r="D131" s="167">
        <f>C131*2</f>
        <v>31926</v>
      </c>
      <c r="E131" s="168">
        <f>DAY(EOMONTH($S$427,0))*24-M131-R131</f>
        <v>732.56666666665114</v>
      </c>
      <c r="F131" s="261"/>
      <c r="G131" s="262"/>
      <c r="H131" s="124"/>
      <c r="I131" s="124"/>
      <c r="J131" s="124"/>
      <c r="K131" s="124"/>
      <c r="L131" s="124"/>
      <c r="M131" s="168">
        <f>SUM(M127:M130)</f>
        <v>4.7333333333954215</v>
      </c>
      <c r="N131" s="61"/>
      <c r="P131" s="188"/>
      <c r="Q131" s="170">
        <f>SUM(Q127:Q130)</f>
        <v>10.699999999953434</v>
      </c>
      <c r="R131" s="170">
        <f>SUM(R127:R130)</f>
        <v>6.6999999999534339</v>
      </c>
    </row>
    <row r="132" spans="1:18" s="62" customFormat="1" ht="18" customHeight="1">
      <c r="A132" s="87"/>
      <c r="B132" s="84"/>
      <c r="C132" s="84"/>
      <c r="D132" s="88"/>
      <c r="E132" s="89"/>
      <c r="F132" s="83"/>
      <c r="G132" s="85"/>
      <c r="H132" s="84"/>
      <c r="I132" s="84"/>
      <c r="J132" s="84"/>
      <c r="K132" s="84"/>
      <c r="L132" s="84"/>
      <c r="M132" s="89"/>
      <c r="N132" s="61"/>
      <c r="P132" s="90"/>
      <c r="Q132" s="91"/>
      <c r="R132" s="91"/>
    </row>
    <row r="133" spans="1:18" s="62" customFormat="1" ht="18" customHeight="1">
      <c r="A133" s="87"/>
      <c r="B133" s="84"/>
      <c r="C133" s="84"/>
      <c r="D133" s="88"/>
      <c r="E133" s="89"/>
      <c r="F133" s="83"/>
      <c r="G133" s="85"/>
      <c r="H133" s="84"/>
      <c r="I133" s="84"/>
      <c r="J133" s="84"/>
      <c r="K133" s="84"/>
      <c r="L133" s="580" t="s">
        <v>1205</v>
      </c>
      <c r="M133" s="580"/>
      <c r="N133" s="61"/>
      <c r="P133" s="90"/>
      <c r="Q133" s="91"/>
      <c r="R133" s="91"/>
    </row>
    <row r="134" spans="1:18" s="62" customFormat="1" ht="18" customHeight="1">
      <c r="A134" s="189">
        <v>1</v>
      </c>
      <c r="B134" s="190">
        <v>1616</v>
      </c>
      <c r="C134" s="184"/>
      <c r="D134" s="200"/>
      <c r="E134" s="191"/>
      <c r="F134" s="169" t="s">
        <v>221</v>
      </c>
      <c r="G134" s="193" t="str">
        <f t="shared" ref="G134:G135" si="340">RIGHT(F134,5)</f>
        <v>22:04</v>
      </c>
      <c r="H134" s="243" t="s">
        <v>290</v>
      </c>
      <c r="I134" s="184" t="s">
        <v>15</v>
      </c>
      <c r="J134" s="169" t="s">
        <v>222</v>
      </c>
      <c r="K134" s="193" t="str">
        <f t="shared" ref="K134:K135" si="341">RIGHT(J134,5)</f>
        <v>23:18</v>
      </c>
      <c r="L134" s="184" t="str">
        <f t="shared" ref="L134:L135" si="342">H134</f>
        <v>№512</v>
      </c>
      <c r="M134" s="191">
        <f t="shared" ref="M134:M135" si="343">(J134-F134)*24</f>
        <v>1.2333333333372138</v>
      </c>
      <c r="N134" s="61"/>
      <c r="P134" s="169" t="s">
        <v>220</v>
      </c>
      <c r="Q134" s="185">
        <f t="shared" ref="Q134:Q135" si="344">(F134-P134)*24</f>
        <v>2.5166666666627862</v>
      </c>
      <c r="R134" s="192">
        <f>Q134-1</f>
        <v>1.5166666666627862</v>
      </c>
    </row>
    <row r="135" spans="1:18" s="62" customFormat="1" ht="18" customHeight="1">
      <c r="A135" s="370">
        <v>2</v>
      </c>
      <c r="B135" s="190">
        <v>1616</v>
      </c>
      <c r="C135" s="366"/>
      <c r="D135" s="375"/>
      <c r="E135" s="367"/>
      <c r="F135" s="169" t="s">
        <v>511</v>
      </c>
      <c r="G135" s="193" t="str">
        <f t="shared" si="340"/>
        <v>20:10</v>
      </c>
      <c r="H135" s="243" t="s">
        <v>536</v>
      </c>
      <c r="I135" s="184" t="s">
        <v>138</v>
      </c>
      <c r="J135" s="169" t="s">
        <v>537</v>
      </c>
      <c r="K135" s="193" t="str">
        <f t="shared" si="341"/>
        <v>23:57</v>
      </c>
      <c r="L135" s="184" t="str">
        <f t="shared" si="342"/>
        <v>№35</v>
      </c>
      <c r="M135" s="191">
        <f t="shared" si="343"/>
        <v>27.783333333267365</v>
      </c>
      <c r="N135" s="61"/>
      <c r="P135" s="169" t="s">
        <v>438</v>
      </c>
      <c r="Q135" s="185">
        <f t="shared" si="344"/>
        <v>33.583333333488554</v>
      </c>
      <c r="R135" s="192">
        <f>Q135-Q135</f>
        <v>0</v>
      </c>
    </row>
    <row r="136" spans="1:18" s="62" customFormat="1" ht="18" customHeight="1" thickBot="1">
      <c r="A136" s="484">
        <v>3</v>
      </c>
      <c r="B136" s="190">
        <v>1616</v>
      </c>
      <c r="C136" s="482"/>
      <c r="D136" s="485"/>
      <c r="E136" s="483"/>
      <c r="F136" s="169" t="s">
        <v>835</v>
      </c>
      <c r="G136" s="193" t="str">
        <f t="shared" ref="G136" si="345">RIGHT(F136,5)</f>
        <v>20:38</v>
      </c>
      <c r="H136" s="243" t="s">
        <v>854</v>
      </c>
      <c r="I136" s="184" t="s">
        <v>15</v>
      </c>
      <c r="J136" s="169" t="s">
        <v>836</v>
      </c>
      <c r="K136" s="193" t="str">
        <f t="shared" ref="K136" si="346">RIGHT(J136,5)</f>
        <v>21:54</v>
      </c>
      <c r="L136" s="184" t="str">
        <f t="shared" ref="L136" si="347">H136</f>
        <v>№652</v>
      </c>
      <c r="M136" s="191">
        <f t="shared" ref="M136" si="348">(J136-F136)*24</f>
        <v>1.2666666666045785</v>
      </c>
      <c r="N136" s="61"/>
      <c r="P136" s="169" t="s">
        <v>834</v>
      </c>
      <c r="Q136" s="185">
        <f t="shared" ref="Q136" si="349">(F136-P136)*24</f>
        <v>6.9999999999417923</v>
      </c>
      <c r="R136" s="192">
        <f>Q136-1</f>
        <v>5.9999999999417923</v>
      </c>
    </row>
    <row r="137" spans="1:18" s="62" customFormat="1" ht="18" customHeight="1" thickBot="1">
      <c r="A137" s="123" t="s">
        <v>16</v>
      </c>
      <c r="B137" s="124"/>
      <c r="C137" s="166">
        <f>Пробеги!E68</f>
        <v>14190</v>
      </c>
      <c r="D137" s="167">
        <f>C137*2</f>
        <v>28380</v>
      </c>
      <c r="E137" s="168">
        <f>DAY(EOMONTH($S$427,0))*24-M137-R137</f>
        <v>706.20000000018626</v>
      </c>
      <c r="F137" s="109"/>
      <c r="G137" s="108"/>
      <c r="H137" s="107"/>
      <c r="I137" s="107"/>
      <c r="J137" s="107"/>
      <c r="K137" s="107"/>
      <c r="L137" s="107"/>
      <c r="M137" s="168">
        <f>SUM(M134:M136)</f>
        <v>30.283333333209157</v>
      </c>
      <c r="N137" s="61"/>
      <c r="P137" s="171"/>
      <c r="Q137" s="170">
        <f>SUM(Q134:Q136)</f>
        <v>43.100000000093132</v>
      </c>
      <c r="R137" s="170">
        <f>SUM(R134:R136)</f>
        <v>7.5166666666045785</v>
      </c>
    </row>
    <row r="138" spans="1:18" s="62" customFormat="1" ht="18" customHeight="1">
      <c r="A138" s="189">
        <v>1</v>
      </c>
      <c r="B138" s="190">
        <v>1617</v>
      </c>
      <c r="C138" s="184"/>
      <c r="D138" s="200"/>
      <c r="E138" s="191"/>
      <c r="F138" s="169" t="s">
        <v>224</v>
      </c>
      <c r="G138" s="193" t="str">
        <f t="shared" ref="G138" si="350">RIGHT(F138,5)</f>
        <v>00:11</v>
      </c>
      <c r="H138" s="243" t="s">
        <v>400</v>
      </c>
      <c r="I138" s="184" t="s">
        <v>15</v>
      </c>
      <c r="J138" s="169" t="s">
        <v>225</v>
      </c>
      <c r="K138" s="193" t="str">
        <f t="shared" ref="K138" si="351">RIGHT(J138,5)</f>
        <v>01:35</v>
      </c>
      <c r="L138" s="184" t="str">
        <f t="shared" ref="L138" si="352">H138</f>
        <v>№530</v>
      </c>
      <c r="M138" s="191">
        <f t="shared" ref="M138" si="353">(J138-F138)*24</f>
        <v>1.3999999998486601</v>
      </c>
      <c r="N138" s="61"/>
      <c r="P138" s="169" t="s">
        <v>223</v>
      </c>
      <c r="Q138" s="185">
        <f t="shared" ref="Q138" si="354">(F138-P138)*24</f>
        <v>3.2000000001280569</v>
      </c>
      <c r="R138" s="192">
        <f>Q138-1</f>
        <v>2.2000000001280569</v>
      </c>
    </row>
    <row r="139" spans="1:18" s="62" customFormat="1" ht="18" customHeight="1">
      <c r="A139" s="451">
        <v>2</v>
      </c>
      <c r="B139" s="190">
        <v>1617</v>
      </c>
      <c r="C139" s="449"/>
      <c r="D139" s="463"/>
      <c r="E139" s="450"/>
      <c r="F139" s="169" t="s">
        <v>619</v>
      </c>
      <c r="G139" s="193" t="str">
        <f t="shared" ref="G139" si="355">RIGHT(F139,5)</f>
        <v>18:33</v>
      </c>
      <c r="H139" s="243" t="s">
        <v>723</v>
      </c>
      <c r="I139" s="184" t="s">
        <v>15</v>
      </c>
      <c r="J139" s="169" t="s">
        <v>620</v>
      </c>
      <c r="K139" s="193" t="str">
        <f t="shared" ref="K139" si="356">RIGHT(J139,5)</f>
        <v>19:37</v>
      </c>
      <c r="L139" s="184" t="str">
        <f t="shared" ref="L139" si="357">H139</f>
        <v>№595</v>
      </c>
      <c r="M139" s="191">
        <f t="shared" ref="M139" si="358">(J139-F139)*24</f>
        <v>1.0666666666511446</v>
      </c>
      <c r="N139" s="61"/>
      <c r="P139" s="169" t="s">
        <v>618</v>
      </c>
      <c r="Q139" s="185">
        <f t="shared" ref="Q139" si="359">(F139-P139)*24</f>
        <v>4.9000000000814907</v>
      </c>
      <c r="R139" s="192">
        <f>Q139-1</f>
        <v>3.9000000000814907</v>
      </c>
    </row>
    <row r="140" spans="1:18" s="62" customFormat="1" ht="18" customHeight="1" thickBot="1">
      <c r="A140" s="500">
        <v>3</v>
      </c>
      <c r="B140" s="190">
        <v>1617</v>
      </c>
      <c r="C140" s="498"/>
      <c r="D140" s="501"/>
      <c r="E140" s="499"/>
      <c r="F140" s="169" t="s">
        <v>970</v>
      </c>
      <c r="G140" s="193" t="str">
        <f t="shared" ref="G140" si="360">RIGHT(F140,5)</f>
        <v>22:41</v>
      </c>
      <c r="H140" s="243" t="s">
        <v>983</v>
      </c>
      <c r="I140" s="184" t="s">
        <v>15</v>
      </c>
      <c r="J140" s="169" t="s">
        <v>971</v>
      </c>
      <c r="K140" s="193" t="str">
        <f t="shared" ref="K140" si="361">RIGHT(J140,5)</f>
        <v>23:51</v>
      </c>
      <c r="L140" s="184" t="str">
        <f t="shared" ref="L140" si="362">H140</f>
        <v>№681</v>
      </c>
      <c r="M140" s="191">
        <f t="shared" ref="M140" si="363">(J140-F140)*24</f>
        <v>1.1666666666278616</v>
      </c>
      <c r="N140" s="61"/>
      <c r="P140" s="169" t="s">
        <v>969</v>
      </c>
      <c r="Q140" s="185">
        <f t="shared" ref="Q140" si="364">(F140-P140)*24</f>
        <v>7.0500000001047738</v>
      </c>
      <c r="R140" s="192">
        <f>Q140-1</f>
        <v>6.0500000001047738</v>
      </c>
    </row>
    <row r="141" spans="1:18" s="62" customFormat="1" ht="18" customHeight="1" thickBot="1">
      <c r="A141" s="123" t="s">
        <v>16</v>
      </c>
      <c r="B141" s="124"/>
      <c r="C141" s="166">
        <f>Пробеги!E70</f>
        <v>12140</v>
      </c>
      <c r="D141" s="167">
        <f>C141*2</f>
        <v>24280</v>
      </c>
      <c r="E141" s="168">
        <f>DAY(EOMONTH($S$427,0))*24-M141-R141</f>
        <v>728.21666666655801</v>
      </c>
      <c r="F141" s="108"/>
      <c r="G141" s="108"/>
      <c r="H141" s="107"/>
      <c r="I141" s="107"/>
      <c r="J141" s="107"/>
      <c r="K141" s="107"/>
      <c r="L141" s="107"/>
      <c r="M141" s="168">
        <f>SUM(M138:M140)</f>
        <v>3.6333333331276663</v>
      </c>
      <c r="N141" s="61"/>
      <c r="P141" s="171"/>
      <c r="Q141" s="170">
        <f>SUM(Q138:Q140)</f>
        <v>15.150000000314321</v>
      </c>
      <c r="R141" s="170">
        <f>SUM(R138:R140)</f>
        <v>12.150000000314321</v>
      </c>
    </row>
    <row r="142" spans="1:18" s="62" customFormat="1" ht="18" customHeight="1">
      <c r="A142" s="189">
        <v>1</v>
      </c>
      <c r="B142" s="190">
        <v>1618</v>
      </c>
      <c r="C142" s="184"/>
      <c r="D142" s="200"/>
      <c r="E142" s="191"/>
      <c r="F142" s="169" t="s">
        <v>227</v>
      </c>
      <c r="G142" s="193" t="str">
        <f t="shared" ref="G142:G143" si="365">RIGHT(F142,5)</f>
        <v>22:11</v>
      </c>
      <c r="H142" s="243" t="s">
        <v>291</v>
      </c>
      <c r="I142" s="184" t="s">
        <v>15</v>
      </c>
      <c r="J142" s="169" t="s">
        <v>228</v>
      </c>
      <c r="K142" s="193" t="str">
        <f t="shared" ref="K142:K143" si="366">RIGHT(J142,5)</f>
        <v>23:17</v>
      </c>
      <c r="L142" s="184" t="str">
        <f t="shared" ref="L142:L143" si="367">H142</f>
        <v>№525</v>
      </c>
      <c r="M142" s="191">
        <f t="shared" ref="M142:M143" si="368">(J142-F142)*24</f>
        <v>1.0999999999185093</v>
      </c>
      <c r="N142" s="61"/>
      <c r="P142" s="169" t="s">
        <v>226</v>
      </c>
      <c r="Q142" s="185">
        <f t="shared" ref="Q142:Q143" si="369">(F142-P142)*24</f>
        <v>9.9999999976716936E-2</v>
      </c>
      <c r="R142" s="192">
        <f>Q142-Q142</f>
        <v>0</v>
      </c>
    </row>
    <row r="143" spans="1:18" s="62" customFormat="1" ht="18" customHeight="1">
      <c r="A143" s="451">
        <v>2</v>
      </c>
      <c r="B143" s="190">
        <v>1618</v>
      </c>
      <c r="C143" s="449"/>
      <c r="D143" s="463"/>
      <c r="E143" s="450"/>
      <c r="F143" s="169" t="s">
        <v>622</v>
      </c>
      <c r="G143" s="193" t="str">
        <f t="shared" si="365"/>
        <v>14:52</v>
      </c>
      <c r="H143" s="243" t="s">
        <v>738</v>
      </c>
      <c r="I143" s="184" t="s">
        <v>51</v>
      </c>
      <c r="J143" s="169" t="s">
        <v>623</v>
      </c>
      <c r="K143" s="193" t="str">
        <f t="shared" si="366"/>
        <v>10:32</v>
      </c>
      <c r="L143" s="184" t="str">
        <f t="shared" si="367"/>
        <v>№240</v>
      </c>
      <c r="M143" s="191">
        <f t="shared" si="368"/>
        <v>19.666666666686069</v>
      </c>
      <c r="N143" s="61"/>
      <c r="P143" s="169" t="s">
        <v>621</v>
      </c>
      <c r="Q143" s="185">
        <f t="shared" si="369"/>
        <v>76.416666666569654</v>
      </c>
      <c r="R143" s="384">
        <v>0</v>
      </c>
    </row>
    <row r="144" spans="1:18" s="62" customFormat="1" ht="18" customHeight="1" thickBot="1">
      <c r="A144" s="451">
        <v>3</v>
      </c>
      <c r="B144" s="190">
        <v>1618</v>
      </c>
      <c r="C144" s="449"/>
      <c r="D144" s="463"/>
      <c r="E144" s="450"/>
      <c r="F144" s="169" t="s">
        <v>625</v>
      </c>
      <c r="G144" s="193" t="str">
        <f t="shared" ref="G144" si="370">RIGHT(F144,5)</f>
        <v>14:13</v>
      </c>
      <c r="H144" s="243" t="s">
        <v>706</v>
      </c>
      <c r="I144" s="184" t="s">
        <v>15</v>
      </c>
      <c r="J144" s="169" t="s">
        <v>626</v>
      </c>
      <c r="K144" s="193" t="str">
        <f t="shared" ref="K144" si="371">RIGHT(J144,5)</f>
        <v>15:06</v>
      </c>
      <c r="L144" s="184" t="str">
        <f t="shared" ref="L144" si="372">H144</f>
        <v>№615</v>
      </c>
      <c r="M144" s="191">
        <f t="shared" ref="M144" si="373">(J144-F144)*24</f>
        <v>0.88333333324408159</v>
      </c>
      <c r="N144" s="61"/>
      <c r="P144" s="169" t="s">
        <v>624</v>
      </c>
      <c r="Q144" s="185">
        <f t="shared" ref="Q144" si="374">(F144-P144)*24</f>
        <v>0.2333333333954215</v>
      </c>
      <c r="R144" s="192">
        <f>Q144-Q144</f>
        <v>0</v>
      </c>
    </row>
    <row r="145" spans="1:18" s="62" customFormat="1" ht="18" customHeight="1" thickBot="1">
      <c r="A145" s="123" t="s">
        <v>16</v>
      </c>
      <c r="B145" s="124"/>
      <c r="C145" s="166">
        <f>Пробеги!E72</f>
        <v>7427</v>
      </c>
      <c r="D145" s="167">
        <f>C145*2</f>
        <v>14854</v>
      </c>
      <c r="E145" s="168">
        <f>DAY(EOMONTH($S$427,0))*24-M145-R145</f>
        <v>722.35000000015134</v>
      </c>
      <c r="F145" s="109"/>
      <c r="G145" s="108"/>
      <c r="H145" s="107"/>
      <c r="I145" s="107"/>
      <c r="J145" s="107"/>
      <c r="K145" s="107"/>
      <c r="L145" s="107"/>
      <c r="M145" s="168">
        <f>SUM(M142:M144)</f>
        <v>21.64999999984866</v>
      </c>
      <c r="N145" s="61"/>
      <c r="P145" s="171"/>
      <c r="Q145" s="170">
        <f>SUM(Q142:Q144)</f>
        <v>76.749999999941792</v>
      </c>
      <c r="R145" s="170">
        <f>SUM(R142:R144)</f>
        <v>0</v>
      </c>
    </row>
    <row r="146" spans="1:18" s="62" customFormat="1" ht="18" customHeight="1">
      <c r="A146" s="189">
        <v>1</v>
      </c>
      <c r="B146" s="190">
        <v>1619</v>
      </c>
      <c r="C146" s="184"/>
      <c r="D146" s="200"/>
      <c r="E146" s="191"/>
      <c r="F146" s="169" t="s">
        <v>140</v>
      </c>
      <c r="G146" s="193" t="str">
        <f t="shared" ref="G146:G147" si="375">RIGHT(F146,5)</f>
        <v>11:54</v>
      </c>
      <c r="H146" s="243" t="s">
        <v>137</v>
      </c>
      <c r="I146" s="184" t="s">
        <v>138</v>
      </c>
      <c r="J146" s="169" t="s">
        <v>141</v>
      </c>
      <c r="K146" s="193" t="str">
        <f t="shared" ref="K146:K147" si="376">RIGHT(J146,5)</f>
        <v>21:55</v>
      </c>
      <c r="L146" s="184" t="str">
        <f t="shared" ref="L146:L147" si="377">H146</f>
        <v>№26</v>
      </c>
      <c r="M146" s="191">
        <f t="shared" ref="M146:M147" si="378">(J146-F146)*24</f>
        <v>10.016666666662786</v>
      </c>
      <c r="N146" s="61"/>
      <c r="P146" s="169" t="s">
        <v>139</v>
      </c>
      <c r="Q146" s="185">
        <f t="shared" ref="Q146:Q147" si="379">(F146-P146)*24</f>
        <v>0.16666666668606922</v>
      </c>
      <c r="R146" s="192">
        <f>Q146-Q146</f>
        <v>0</v>
      </c>
    </row>
    <row r="147" spans="1:18" s="62" customFormat="1" ht="18" customHeight="1">
      <c r="A147" s="357">
        <v>2</v>
      </c>
      <c r="B147" s="190">
        <v>1619</v>
      </c>
      <c r="C147" s="355"/>
      <c r="D147" s="359"/>
      <c r="E147" s="356"/>
      <c r="F147" s="169" t="s">
        <v>382</v>
      </c>
      <c r="G147" s="193" t="str">
        <f t="shared" si="375"/>
        <v>18:40</v>
      </c>
      <c r="H147" s="243" t="s">
        <v>411</v>
      </c>
      <c r="I147" s="184" t="s">
        <v>15</v>
      </c>
      <c r="J147" s="169" t="s">
        <v>383</v>
      </c>
      <c r="K147" s="193" t="str">
        <f t="shared" si="376"/>
        <v>19:51</v>
      </c>
      <c r="L147" s="184" t="str">
        <f t="shared" si="377"/>
        <v>№548</v>
      </c>
      <c r="M147" s="191">
        <f t="shared" si="378"/>
        <v>1.1833333331742324</v>
      </c>
      <c r="N147" s="61"/>
      <c r="P147" s="169" t="s">
        <v>381</v>
      </c>
      <c r="Q147" s="185">
        <f t="shared" si="379"/>
        <v>5.0000000162981451E-2</v>
      </c>
      <c r="R147" s="192">
        <f>Q147-Q147</f>
        <v>0</v>
      </c>
    </row>
    <row r="148" spans="1:18" s="62" customFormat="1" ht="18" customHeight="1">
      <c r="A148" s="451">
        <v>3</v>
      </c>
      <c r="B148" s="190">
        <v>1619</v>
      </c>
      <c r="C148" s="449"/>
      <c r="D148" s="463"/>
      <c r="E148" s="450"/>
      <c r="F148" s="169" t="s">
        <v>628</v>
      </c>
      <c r="G148" s="193" t="str">
        <f t="shared" ref="G148:G149" si="380">RIGHT(F148,5)</f>
        <v>23:21</v>
      </c>
      <c r="H148" s="243" t="s">
        <v>724</v>
      </c>
      <c r="I148" s="184" t="s">
        <v>15</v>
      </c>
      <c r="J148" s="169" t="s">
        <v>629</v>
      </c>
      <c r="K148" s="193" t="str">
        <f t="shared" ref="K148:K149" si="381">RIGHT(J148,5)</f>
        <v>00:48</v>
      </c>
      <c r="L148" s="184" t="str">
        <f t="shared" ref="L148:L149" si="382">H148</f>
        <v>№610</v>
      </c>
      <c r="M148" s="191">
        <f t="shared" ref="M148:M149" si="383">(J148-F148)*24</f>
        <v>1.4500000000116415</v>
      </c>
      <c r="N148" s="61"/>
      <c r="P148" s="169" t="s">
        <v>627</v>
      </c>
      <c r="Q148" s="185">
        <f t="shared" ref="Q148:Q149" si="384">(F148-P148)*24</f>
        <v>2.4333333332324401</v>
      </c>
      <c r="R148" s="192">
        <f>Q148-1</f>
        <v>1.4333333332324401</v>
      </c>
    </row>
    <row r="149" spans="1:18" s="62" customFormat="1" ht="18" customHeight="1" thickBot="1">
      <c r="A149" s="486">
        <v>4</v>
      </c>
      <c r="B149" s="190">
        <v>1619</v>
      </c>
      <c r="C149" s="490"/>
      <c r="D149" s="495"/>
      <c r="E149" s="489"/>
      <c r="F149" s="169" t="s">
        <v>890</v>
      </c>
      <c r="G149" s="193" t="str">
        <f t="shared" si="380"/>
        <v>22:43</v>
      </c>
      <c r="H149" s="243" t="s">
        <v>992</v>
      </c>
      <c r="I149" s="184" t="s">
        <v>51</v>
      </c>
      <c r="J149" s="169" t="s">
        <v>891</v>
      </c>
      <c r="K149" s="193" t="str">
        <f t="shared" si="381"/>
        <v>00:38</v>
      </c>
      <c r="L149" s="184" t="str">
        <f t="shared" si="382"/>
        <v>№РЦ14/32</v>
      </c>
      <c r="M149" s="191">
        <f t="shared" si="383"/>
        <v>1.9166666666278616</v>
      </c>
      <c r="N149" s="61"/>
      <c r="P149" s="169" t="s">
        <v>889</v>
      </c>
      <c r="Q149" s="185">
        <f t="shared" si="384"/>
        <v>0.13333333341870457</v>
      </c>
      <c r="R149" s="192">
        <f>Q149</f>
        <v>0.13333333341870457</v>
      </c>
    </row>
    <row r="150" spans="1:18" s="62" customFormat="1" ht="18" customHeight="1" thickBot="1">
      <c r="A150" s="123" t="s">
        <v>16</v>
      </c>
      <c r="B150" s="124"/>
      <c r="C150" s="166">
        <f>Пробеги!E74</f>
        <v>13685</v>
      </c>
      <c r="D150" s="167">
        <f>C150*2</f>
        <v>27370</v>
      </c>
      <c r="E150" s="168">
        <f>DAY(EOMONTH($S$427,0))*24-M150-R150</f>
        <v>727.86666666687233</v>
      </c>
      <c r="F150" s="109"/>
      <c r="G150" s="108"/>
      <c r="H150" s="107"/>
      <c r="I150" s="107"/>
      <c r="J150" s="124"/>
      <c r="K150" s="124"/>
      <c r="L150" s="124"/>
      <c r="M150" s="168">
        <f>SUM(M146:M149)</f>
        <v>14.566666666476522</v>
      </c>
      <c r="N150" s="61"/>
      <c r="P150" s="171"/>
      <c r="Q150" s="170">
        <f>SUM(Q146:Q149)</f>
        <v>2.7833333335001953</v>
      </c>
      <c r="R150" s="170">
        <f>SUM(R146:R149)</f>
        <v>1.5666666666511446</v>
      </c>
    </row>
    <row r="151" spans="1:18" s="62" customFormat="1" ht="18" customHeight="1">
      <c r="A151" s="244">
        <v>1</v>
      </c>
      <c r="B151" s="190">
        <v>1620</v>
      </c>
      <c r="C151" s="245"/>
      <c r="D151" s="246"/>
      <c r="E151" s="247"/>
      <c r="F151" s="169" t="s">
        <v>143</v>
      </c>
      <c r="G151" s="193" t="str">
        <f t="shared" ref="G151" si="385">RIGHT(F151,5)</f>
        <v>22:23</v>
      </c>
      <c r="H151" s="243" t="s">
        <v>292</v>
      </c>
      <c r="I151" s="184" t="s">
        <v>15</v>
      </c>
      <c r="J151" s="169" t="s">
        <v>144</v>
      </c>
      <c r="K151" s="193" t="str">
        <f t="shared" ref="K151" si="386">RIGHT(J151,5)</f>
        <v>23:32</v>
      </c>
      <c r="L151" s="184" t="str">
        <f t="shared" ref="L151" si="387">H151</f>
        <v>№492</v>
      </c>
      <c r="M151" s="191">
        <f t="shared" ref="M151" si="388">(J151-F151)*24</f>
        <v>1.1500000000814907</v>
      </c>
      <c r="N151" s="61"/>
      <c r="P151" s="169" t="s">
        <v>142</v>
      </c>
      <c r="Q151" s="185">
        <f t="shared" ref="Q151" si="389">(F151-P151)*24</f>
        <v>0.41666666662786156</v>
      </c>
      <c r="R151" s="192">
        <f>Q151-Q151</f>
        <v>0</v>
      </c>
    </row>
    <row r="152" spans="1:18" s="62" customFormat="1" ht="18" customHeight="1">
      <c r="A152" s="370">
        <v>2</v>
      </c>
      <c r="B152" s="190">
        <v>1620</v>
      </c>
      <c r="C152" s="366"/>
      <c r="D152" s="375"/>
      <c r="E152" s="367"/>
      <c r="F152" s="169" t="s">
        <v>440</v>
      </c>
      <c r="G152" s="193" t="str">
        <f t="shared" ref="G152" si="390">RIGHT(F152,5)</f>
        <v>20:46</v>
      </c>
      <c r="H152" s="243" t="s">
        <v>486</v>
      </c>
      <c r="I152" s="184" t="s">
        <v>15</v>
      </c>
      <c r="J152" s="169" t="s">
        <v>441</v>
      </c>
      <c r="K152" s="193" t="str">
        <f t="shared" ref="K152" si="391">RIGHT(J152,5)</f>
        <v>21:57</v>
      </c>
      <c r="L152" s="184" t="str">
        <f t="shared" ref="L152" si="392">H152</f>
        <v>№561</v>
      </c>
      <c r="M152" s="191">
        <f t="shared" ref="M152" si="393">(J152-F152)*24</f>
        <v>1.1833333333488554</v>
      </c>
      <c r="N152" s="61"/>
      <c r="P152" s="169" t="s">
        <v>439</v>
      </c>
      <c r="Q152" s="185">
        <f t="shared" ref="Q152" si="394">(F152-P152)*24</f>
        <v>1.6499999999650754</v>
      </c>
      <c r="R152" s="192">
        <f>Q152-1</f>
        <v>0.6499999999650754</v>
      </c>
    </row>
    <row r="153" spans="1:18" s="62" customFormat="1" ht="18" customHeight="1" thickBot="1">
      <c r="A153" s="468">
        <v>3</v>
      </c>
      <c r="B153" s="190">
        <v>1620</v>
      </c>
      <c r="C153" s="466"/>
      <c r="D153" s="469"/>
      <c r="E153" s="467"/>
      <c r="F153" s="169" t="s">
        <v>757</v>
      </c>
      <c r="G153" s="193" t="str">
        <f t="shared" ref="G153" si="395">RIGHT(F153,5)</f>
        <v>17:44</v>
      </c>
      <c r="H153" s="243" t="s">
        <v>762</v>
      </c>
      <c r="I153" s="184" t="s">
        <v>15</v>
      </c>
      <c r="J153" s="169" t="s">
        <v>758</v>
      </c>
      <c r="K153" s="193" t="str">
        <f t="shared" ref="K153" si="396">RIGHT(J153,5)</f>
        <v>19:16</v>
      </c>
      <c r="L153" s="184" t="str">
        <f t="shared" ref="L153" si="397">H153</f>
        <v>№634</v>
      </c>
      <c r="M153" s="191">
        <f t="shared" ref="M153" si="398">(J153-F153)*24</f>
        <v>1.5333333332673647</v>
      </c>
      <c r="N153" s="61"/>
      <c r="P153" s="169" t="s">
        <v>756</v>
      </c>
      <c r="Q153" s="185">
        <f t="shared" ref="Q153" si="399">(F153-P153)*24</f>
        <v>1.6166666666977108</v>
      </c>
      <c r="R153" s="192">
        <f>Q153-1</f>
        <v>0.61666666669771075</v>
      </c>
    </row>
    <row r="154" spans="1:18" s="62" customFormat="1" ht="18" customHeight="1" thickBot="1">
      <c r="A154" s="123" t="s">
        <v>16</v>
      </c>
      <c r="B154" s="124"/>
      <c r="C154" s="166">
        <f>Пробеги!E76</f>
        <v>14727</v>
      </c>
      <c r="D154" s="167">
        <f>C154*2</f>
        <v>29454</v>
      </c>
      <c r="E154" s="168">
        <f>DAY(EOMONTH($S$427,0))*24-M154-R154</f>
        <v>738.8666666666395</v>
      </c>
      <c r="F154" s="109"/>
      <c r="G154" s="108"/>
      <c r="H154" s="107"/>
      <c r="I154" s="107"/>
      <c r="J154" s="107"/>
      <c r="K154" s="107"/>
      <c r="L154" s="107"/>
      <c r="M154" s="168">
        <f>SUM(M151:M153)</f>
        <v>3.8666666666977108</v>
      </c>
      <c r="N154" s="61"/>
      <c r="P154" s="171"/>
      <c r="Q154" s="170">
        <f>SUM(Q151:Q153)</f>
        <v>3.6833333332906477</v>
      </c>
      <c r="R154" s="170">
        <f>SUM(R151:R153)</f>
        <v>1.2666666666627862</v>
      </c>
    </row>
    <row r="155" spans="1:18" s="187" customFormat="1" ht="18" customHeight="1">
      <c r="A155" s="189">
        <v>1</v>
      </c>
      <c r="B155" s="190">
        <v>1621</v>
      </c>
      <c r="C155" s="184"/>
      <c r="D155" s="200"/>
      <c r="E155" s="191"/>
      <c r="F155" s="169" t="s">
        <v>109</v>
      </c>
      <c r="G155" s="193" t="str">
        <f t="shared" ref="G155:G157" si="400">RIGHT(F155,5)</f>
        <v>10:30</v>
      </c>
      <c r="H155" s="243" t="s">
        <v>124</v>
      </c>
      <c r="I155" s="184" t="s">
        <v>15</v>
      </c>
      <c r="J155" s="169" t="s">
        <v>110</v>
      </c>
      <c r="K155" s="193" t="str">
        <f t="shared" ref="K155:K157" si="401">RIGHT(J155,5)</f>
        <v>11:40</v>
      </c>
      <c r="L155" s="184" t="str">
        <f t="shared" ref="L155:L157" si="402">H155</f>
        <v>№481</v>
      </c>
      <c r="M155" s="191">
        <f t="shared" ref="M155:M157" si="403">(J155-F155)*24</f>
        <v>1.1666666666278616</v>
      </c>
      <c r="N155" s="61"/>
      <c r="P155" s="169" t="s">
        <v>108</v>
      </c>
      <c r="Q155" s="185">
        <f t="shared" ref="Q155:Q157" si="404">(F155-P155)*24</f>
        <v>4.9999999988358468E-2</v>
      </c>
      <c r="R155" s="192">
        <f>Q155-Q155</f>
        <v>0</v>
      </c>
    </row>
    <row r="156" spans="1:18" s="187" customFormat="1" ht="18" customHeight="1">
      <c r="A156" s="349">
        <v>2</v>
      </c>
      <c r="B156" s="190">
        <v>1621</v>
      </c>
      <c r="C156" s="347"/>
      <c r="D156" s="351"/>
      <c r="E156" s="348"/>
      <c r="F156" s="169" t="s">
        <v>413</v>
      </c>
      <c r="G156" s="193" t="str">
        <f t="shared" si="400"/>
        <v>09:59</v>
      </c>
      <c r="H156" s="243" t="s">
        <v>478</v>
      </c>
      <c r="I156" s="184" t="s">
        <v>138</v>
      </c>
      <c r="J156" s="169" t="s">
        <v>442</v>
      </c>
      <c r="K156" s="193" t="str">
        <f t="shared" si="401"/>
        <v>20:14</v>
      </c>
      <c r="L156" s="184" t="str">
        <f t="shared" si="402"/>
        <v>№32</v>
      </c>
      <c r="M156" s="191">
        <f t="shared" si="403"/>
        <v>34.249999999883585</v>
      </c>
      <c r="N156" s="61"/>
      <c r="O156" s="62"/>
      <c r="P156" s="169" t="s">
        <v>355</v>
      </c>
      <c r="Q156" s="185">
        <f t="shared" si="404"/>
        <v>38.950000000011642</v>
      </c>
      <c r="R156" s="192">
        <f>Q156-Q156</f>
        <v>0</v>
      </c>
    </row>
    <row r="157" spans="1:18" s="187" customFormat="1" ht="18" customHeight="1" thickBot="1">
      <c r="A157" s="468">
        <v>3</v>
      </c>
      <c r="B157" s="190">
        <v>1621</v>
      </c>
      <c r="C157" s="466"/>
      <c r="D157" s="469"/>
      <c r="E157" s="467"/>
      <c r="F157" s="169" t="s">
        <v>760</v>
      </c>
      <c r="G157" s="193" t="str">
        <f t="shared" si="400"/>
        <v>23:02</v>
      </c>
      <c r="H157" s="243" t="s">
        <v>777</v>
      </c>
      <c r="I157" s="184" t="s">
        <v>15</v>
      </c>
      <c r="J157" s="169" t="s">
        <v>761</v>
      </c>
      <c r="K157" s="193" t="str">
        <f t="shared" si="401"/>
        <v>00:07</v>
      </c>
      <c r="L157" s="184" t="str">
        <f t="shared" si="402"/>
        <v>№635</v>
      </c>
      <c r="M157" s="191">
        <f t="shared" si="403"/>
        <v>1.0833333333721384</v>
      </c>
      <c r="N157" s="61"/>
      <c r="O157" s="62"/>
      <c r="P157" s="169" t="s">
        <v>759</v>
      </c>
      <c r="Q157" s="185">
        <f t="shared" si="404"/>
        <v>1.4000000000232831</v>
      </c>
      <c r="R157" s="192">
        <f>Q157-1</f>
        <v>0.40000000002328306</v>
      </c>
    </row>
    <row r="158" spans="1:18" s="62" customFormat="1" ht="18" customHeight="1" thickBot="1">
      <c r="A158" s="123" t="s">
        <v>16</v>
      </c>
      <c r="B158" s="124"/>
      <c r="C158" s="166">
        <f>Пробеги!E78</f>
        <v>13175</v>
      </c>
      <c r="D158" s="167">
        <f>C158*2</f>
        <v>26350</v>
      </c>
      <c r="E158" s="168">
        <f>DAY(EOMONTH($S$427,0))*24-M158-R158</f>
        <v>707.10000000009313</v>
      </c>
      <c r="F158" s="261"/>
      <c r="G158" s="262"/>
      <c r="H158" s="107"/>
      <c r="I158" s="107"/>
      <c r="J158" s="107"/>
      <c r="K158" s="107"/>
      <c r="L158" s="107"/>
      <c r="M158" s="168">
        <f>SUM(M155:M157)</f>
        <v>36.499999999883585</v>
      </c>
      <c r="N158" s="61"/>
      <c r="P158" s="171"/>
      <c r="Q158" s="170">
        <f>SUM(Q155:Q157)</f>
        <v>40.400000000023283</v>
      </c>
      <c r="R158" s="170">
        <f>SUM(R155:R157)</f>
        <v>0.40000000002328306</v>
      </c>
    </row>
    <row r="159" spans="1:18" s="62" customFormat="1" ht="18" customHeight="1">
      <c r="A159" s="189">
        <v>1</v>
      </c>
      <c r="B159" s="190">
        <v>1622</v>
      </c>
      <c r="C159" s="184"/>
      <c r="D159" s="200"/>
      <c r="E159" s="191"/>
      <c r="F159" s="169" t="s">
        <v>230</v>
      </c>
      <c r="G159" s="193" t="str">
        <f t="shared" ref="G159" si="405">RIGHT(F159,5)</f>
        <v>09:25</v>
      </c>
      <c r="H159" s="243" t="s">
        <v>293</v>
      </c>
      <c r="I159" s="184" t="s">
        <v>15</v>
      </c>
      <c r="J159" s="169" t="s">
        <v>231</v>
      </c>
      <c r="K159" s="193" t="str">
        <f t="shared" ref="K159" si="406">RIGHT(J159,5)</f>
        <v>10:51</v>
      </c>
      <c r="L159" s="184" t="str">
        <f t="shared" ref="L159" si="407">H159</f>
        <v>№520</v>
      </c>
      <c r="M159" s="191">
        <f t="shared" ref="M159" si="408">(J159-F159)*24</f>
        <v>1.4333333332906477</v>
      </c>
      <c r="N159" s="61"/>
      <c r="P159" s="169" t="s">
        <v>229</v>
      </c>
      <c r="Q159" s="185">
        <f t="shared" ref="Q159" si="409">(F159-P159)*24</f>
        <v>2.066666666592937</v>
      </c>
      <c r="R159" s="192">
        <f>Q159-1</f>
        <v>1.066666666592937</v>
      </c>
    </row>
    <row r="160" spans="1:18" s="62" customFormat="1" ht="18" customHeight="1">
      <c r="A160" s="410">
        <v>2</v>
      </c>
      <c r="B160" s="190">
        <v>1622</v>
      </c>
      <c r="C160" s="408"/>
      <c r="D160" s="411"/>
      <c r="E160" s="409"/>
      <c r="F160" s="169" t="s">
        <v>513</v>
      </c>
      <c r="G160" s="193" t="str">
        <f t="shared" ref="G160:G162" si="410">RIGHT(F160,5)</f>
        <v>22:06</v>
      </c>
      <c r="H160" s="243" t="s">
        <v>535</v>
      </c>
      <c r="I160" s="184" t="s">
        <v>15</v>
      </c>
      <c r="J160" s="169" t="s">
        <v>514</v>
      </c>
      <c r="K160" s="193" t="str">
        <f t="shared" ref="K160:K162" si="411">RIGHT(J160,5)</f>
        <v>23:15</v>
      </c>
      <c r="L160" s="184" t="str">
        <f t="shared" ref="L160:L162" si="412">H160</f>
        <v>№578</v>
      </c>
      <c r="M160" s="191">
        <f t="shared" ref="M160:M162" si="413">(J160-F160)*24</f>
        <v>1.1500000000814907</v>
      </c>
      <c r="N160" s="61"/>
      <c r="P160" s="169" t="s">
        <v>512</v>
      </c>
      <c r="Q160" s="185">
        <f t="shared" ref="Q160:Q162" si="414">(F160-P160)*24</f>
        <v>0.79999999998835847</v>
      </c>
      <c r="R160" s="192">
        <f>Q160-Q160</f>
        <v>0</v>
      </c>
    </row>
    <row r="161" spans="1:18" s="62" customFormat="1" ht="18" customHeight="1">
      <c r="A161" s="451">
        <v>3</v>
      </c>
      <c r="B161" s="190">
        <v>1622</v>
      </c>
      <c r="C161" s="449"/>
      <c r="D161" s="463"/>
      <c r="E161" s="450"/>
      <c r="F161" s="169" t="s">
        <v>631</v>
      </c>
      <c r="G161" s="193" t="str">
        <f t="shared" si="410"/>
        <v>10:06</v>
      </c>
      <c r="H161" s="243" t="s">
        <v>745</v>
      </c>
      <c r="I161" s="184" t="s">
        <v>138</v>
      </c>
      <c r="J161" s="169" t="s">
        <v>632</v>
      </c>
      <c r="K161" s="193" t="str">
        <f t="shared" si="411"/>
        <v>21:49</v>
      </c>
      <c r="L161" s="184" t="str">
        <f t="shared" si="412"/>
        <v>№38</v>
      </c>
      <c r="M161" s="191">
        <f t="shared" si="413"/>
        <v>11.716666666790843</v>
      </c>
      <c r="N161" s="61"/>
      <c r="P161" s="169" t="s">
        <v>630</v>
      </c>
      <c r="Q161" s="185">
        <f t="shared" si="414"/>
        <v>17.749999999883585</v>
      </c>
      <c r="R161" s="192">
        <f>Q161-Q161</f>
        <v>0</v>
      </c>
    </row>
    <row r="162" spans="1:18" s="62" customFormat="1" ht="18" customHeight="1" thickBot="1">
      <c r="A162" s="486">
        <v>4</v>
      </c>
      <c r="B162" s="190">
        <v>1622</v>
      </c>
      <c r="C162" s="490"/>
      <c r="D162" s="495"/>
      <c r="E162" s="489"/>
      <c r="F162" s="169" t="s">
        <v>893</v>
      </c>
      <c r="G162" s="193" t="str">
        <f t="shared" si="410"/>
        <v>04:48</v>
      </c>
      <c r="H162" s="243" t="s">
        <v>943</v>
      </c>
      <c r="I162" s="184" t="s">
        <v>15</v>
      </c>
      <c r="J162" s="169" t="s">
        <v>894</v>
      </c>
      <c r="K162" s="193" t="str">
        <f t="shared" si="411"/>
        <v>05:59</v>
      </c>
      <c r="L162" s="184" t="str">
        <f t="shared" si="412"/>
        <v>№675</v>
      </c>
      <c r="M162" s="191">
        <f t="shared" si="413"/>
        <v>1.1833333333488554</v>
      </c>
      <c r="N162" s="61"/>
      <c r="P162" s="169" t="s">
        <v>892</v>
      </c>
      <c r="Q162" s="185">
        <f t="shared" si="414"/>
        <v>0.96666666667442769</v>
      </c>
      <c r="R162" s="192">
        <f>Q162-Q162</f>
        <v>0</v>
      </c>
    </row>
    <row r="163" spans="1:18" s="62" customFormat="1" ht="18" customHeight="1" thickBot="1">
      <c r="A163" s="123" t="s">
        <v>16</v>
      </c>
      <c r="B163" s="124"/>
      <c r="C163" s="166">
        <f>Пробеги!E80</f>
        <v>14724</v>
      </c>
      <c r="D163" s="167">
        <f>C163*2</f>
        <v>29448</v>
      </c>
      <c r="E163" s="168">
        <f>DAY(EOMONTH($S$427,0))*24-M163-R163</f>
        <v>727.44999999989523</v>
      </c>
      <c r="F163" s="109"/>
      <c r="G163" s="108"/>
      <c r="H163" s="107"/>
      <c r="I163" s="107"/>
      <c r="J163" s="107"/>
      <c r="K163" s="107"/>
      <c r="L163" s="107"/>
      <c r="M163" s="168">
        <f>SUM(M159:M162)</f>
        <v>15.483333333511837</v>
      </c>
      <c r="N163" s="61"/>
      <c r="P163" s="171"/>
      <c r="Q163" s="170">
        <f>SUM(Q159:Q162)</f>
        <v>21.583333333139308</v>
      </c>
      <c r="R163" s="170">
        <f>SUM(R159:R162)</f>
        <v>1.066666666592937</v>
      </c>
    </row>
    <row r="164" spans="1:18" s="62" customFormat="1" ht="18" customHeight="1">
      <c r="A164" s="189">
        <v>1</v>
      </c>
      <c r="B164" s="190">
        <v>1623</v>
      </c>
      <c r="C164" s="184"/>
      <c r="D164" s="200"/>
      <c r="E164" s="191"/>
      <c r="F164" s="169" t="s">
        <v>146</v>
      </c>
      <c r="G164" s="193" t="str">
        <f t="shared" ref="G164" si="415">RIGHT(F164,5)</f>
        <v>13:30</v>
      </c>
      <c r="H164" s="243" t="s">
        <v>294</v>
      </c>
      <c r="I164" s="184" t="s">
        <v>15</v>
      </c>
      <c r="J164" s="169" t="s">
        <v>147</v>
      </c>
      <c r="K164" s="193" t="str">
        <f t="shared" ref="K164" si="416">RIGHT(J164,5)</f>
        <v>14:45</v>
      </c>
      <c r="L164" s="184" t="str">
        <f t="shared" ref="L164" si="417">H164</f>
        <v>№487</v>
      </c>
      <c r="M164" s="191">
        <f t="shared" ref="M164" si="418">(J164-F164)*24</f>
        <v>1.2500000000582077</v>
      </c>
      <c r="N164" s="61"/>
      <c r="P164" s="169" t="s">
        <v>145</v>
      </c>
      <c r="Q164" s="185">
        <f t="shared" ref="Q164" si="419">(F164-P164)*24</f>
        <v>6.1333333334187046</v>
      </c>
      <c r="R164" s="192">
        <f>Q164-1</f>
        <v>5.1333333334187046</v>
      </c>
    </row>
    <row r="165" spans="1:18" s="62" customFormat="1" ht="18" customHeight="1">
      <c r="A165" s="357">
        <v>2</v>
      </c>
      <c r="B165" s="190">
        <v>1623</v>
      </c>
      <c r="C165" s="355"/>
      <c r="D165" s="359"/>
      <c r="E165" s="356"/>
      <c r="F165" s="169" t="s">
        <v>418</v>
      </c>
      <c r="G165" s="193" t="str">
        <f t="shared" ref="G165:G166" si="420">RIGHT(F165,5)</f>
        <v>08:24</v>
      </c>
      <c r="H165" s="243" t="s">
        <v>487</v>
      </c>
      <c r="I165" s="184" t="s">
        <v>15</v>
      </c>
      <c r="J165" s="169" t="s">
        <v>419</v>
      </c>
      <c r="K165" s="193" t="str">
        <f t="shared" ref="K165:K166" si="421">RIGHT(J165,5)</f>
        <v>09:53</v>
      </c>
      <c r="L165" s="184" t="str">
        <f t="shared" ref="L165:L166" si="422">H165</f>
        <v>№551</v>
      </c>
      <c r="M165" s="191">
        <f t="shared" ref="M165:M166" si="423">(J165-F165)*24</f>
        <v>1.4833333334536292</v>
      </c>
      <c r="N165" s="61"/>
      <c r="P165" s="169" t="s">
        <v>384</v>
      </c>
      <c r="Q165" s="185">
        <f t="shared" ref="Q165:Q166" si="424">(F165-P165)*24</f>
        <v>1.5666666667093523</v>
      </c>
      <c r="R165" s="192">
        <f>Q165-1</f>
        <v>0.56666666670935228</v>
      </c>
    </row>
    <row r="166" spans="1:18" s="62" customFormat="1" ht="18" customHeight="1">
      <c r="A166" s="445">
        <v>3</v>
      </c>
      <c r="B166" s="190">
        <v>1623</v>
      </c>
      <c r="C166" s="443"/>
      <c r="D166" s="446"/>
      <c r="E166" s="444"/>
      <c r="F166" s="169" t="s">
        <v>633</v>
      </c>
      <c r="G166" s="193" t="str">
        <f t="shared" si="420"/>
        <v>10:20</v>
      </c>
      <c r="H166" s="243" t="s">
        <v>746</v>
      </c>
      <c r="I166" s="184" t="s">
        <v>138</v>
      </c>
      <c r="J166" s="169" t="s">
        <v>634</v>
      </c>
      <c r="K166" s="193" t="str">
        <f t="shared" si="421"/>
        <v>20:41</v>
      </c>
      <c r="L166" s="184" t="str">
        <f t="shared" si="422"/>
        <v>№37</v>
      </c>
      <c r="M166" s="191">
        <f t="shared" si="423"/>
        <v>10.350000000034925</v>
      </c>
      <c r="N166" s="61"/>
      <c r="P166" s="169" t="s">
        <v>557</v>
      </c>
      <c r="Q166" s="185">
        <f t="shared" si="424"/>
        <v>21.18333333323244</v>
      </c>
      <c r="R166" s="192">
        <f>Q166-Q166</f>
        <v>0</v>
      </c>
    </row>
    <row r="167" spans="1:18" s="62" customFormat="1" ht="18" customHeight="1" thickBot="1">
      <c r="A167" s="486">
        <v>4</v>
      </c>
      <c r="B167" s="190">
        <v>1623</v>
      </c>
      <c r="C167" s="490"/>
      <c r="D167" s="495"/>
      <c r="E167" s="489"/>
      <c r="F167" s="169" t="s">
        <v>896</v>
      </c>
      <c r="G167" s="193" t="str">
        <f t="shared" ref="G167" si="425">RIGHT(F167,5)</f>
        <v>17:35</v>
      </c>
      <c r="H167" s="243" t="s">
        <v>944</v>
      </c>
      <c r="I167" s="184" t="s">
        <v>15</v>
      </c>
      <c r="J167" s="169" t="s">
        <v>897</v>
      </c>
      <c r="K167" s="193" t="str">
        <f t="shared" ref="K167" si="426">RIGHT(J167,5)</f>
        <v>18:47</v>
      </c>
      <c r="L167" s="184" t="str">
        <f t="shared" ref="L167" si="427">H167</f>
        <v>№664</v>
      </c>
      <c r="M167" s="191">
        <f t="shared" ref="M167" si="428">(J167-F167)*24</f>
        <v>1.1999999998952262</v>
      </c>
      <c r="N167" s="61"/>
      <c r="P167" s="169" t="s">
        <v>895</v>
      </c>
      <c r="Q167" s="185">
        <f t="shared" ref="Q167" si="429">(F167-P167)*24</f>
        <v>2.7500000000582077</v>
      </c>
      <c r="R167" s="192">
        <f>Q167-1</f>
        <v>1.7500000000582077</v>
      </c>
    </row>
    <row r="168" spans="1:18" s="62" customFormat="1" ht="18" customHeight="1" thickBot="1">
      <c r="A168" s="123" t="s">
        <v>16</v>
      </c>
      <c r="B168" s="124"/>
      <c r="C168" s="166">
        <f>Пробеги!E82</f>
        <v>13940</v>
      </c>
      <c r="D168" s="167">
        <f>C168*2</f>
        <v>27880</v>
      </c>
      <c r="E168" s="168">
        <f>DAY(EOMONTH($S$427,0))*24-M168-R168</f>
        <v>722.26666666637175</v>
      </c>
      <c r="F168" s="109"/>
      <c r="G168" s="108"/>
      <c r="H168" s="107"/>
      <c r="I168" s="124"/>
      <c r="J168" s="107"/>
      <c r="K168" s="107"/>
      <c r="L168" s="107"/>
      <c r="M168" s="168">
        <f>SUM(M164:M167)</f>
        <v>14.283333333441988</v>
      </c>
      <c r="N168" s="61"/>
      <c r="P168" s="171"/>
      <c r="Q168" s="170">
        <f>SUM(Q164:Q167)</f>
        <v>31.633333333418705</v>
      </c>
      <c r="R168" s="170">
        <f>SUM(R164:R167)</f>
        <v>7.4500000001862645</v>
      </c>
    </row>
    <row r="169" spans="1:18" s="62" customFormat="1" ht="18" customHeight="1">
      <c r="A169" s="189">
        <v>1</v>
      </c>
      <c r="B169" s="190">
        <v>1624</v>
      </c>
      <c r="C169" s="184"/>
      <c r="D169" s="200"/>
      <c r="E169" s="191"/>
      <c r="F169" s="169" t="s">
        <v>330</v>
      </c>
      <c r="G169" s="193" t="str">
        <f t="shared" ref="G169" si="430">RIGHT(F169,5)</f>
        <v>13:56</v>
      </c>
      <c r="H169" s="243" t="s">
        <v>401</v>
      </c>
      <c r="I169" s="184" t="s">
        <v>15</v>
      </c>
      <c r="J169" s="169" t="s">
        <v>331</v>
      </c>
      <c r="K169" s="193" t="str">
        <f t="shared" ref="K169" si="431">RIGHT(J169,5)</f>
        <v>15:00</v>
      </c>
      <c r="L169" s="184" t="str">
        <f t="shared" ref="L169" si="432">H169</f>
        <v>№537</v>
      </c>
      <c r="M169" s="191">
        <f t="shared" ref="M169" si="433">(J169-F169)*24</f>
        <v>1.0666666666511446</v>
      </c>
      <c r="N169" s="61"/>
      <c r="P169" s="169" t="s">
        <v>329</v>
      </c>
      <c r="Q169" s="185">
        <f t="shared" ref="Q169" si="434">(F169-P169)*24</f>
        <v>1.5</v>
      </c>
      <c r="R169" s="192">
        <f>Q169-1</f>
        <v>0.5</v>
      </c>
    </row>
    <row r="170" spans="1:18" s="62" customFormat="1" ht="18" customHeight="1">
      <c r="A170" s="451">
        <v>2</v>
      </c>
      <c r="B170" s="190">
        <v>1624</v>
      </c>
      <c r="C170" s="449"/>
      <c r="D170" s="463"/>
      <c r="E170" s="450"/>
      <c r="F170" s="169" t="s">
        <v>636</v>
      </c>
      <c r="G170" s="193" t="str">
        <f t="shared" ref="G170" si="435">RIGHT(F170,5)</f>
        <v>15:41</v>
      </c>
      <c r="H170" s="243" t="s">
        <v>725</v>
      </c>
      <c r="I170" s="184" t="s">
        <v>15</v>
      </c>
      <c r="J170" s="169" t="s">
        <v>637</v>
      </c>
      <c r="K170" s="193" t="str">
        <f t="shared" ref="K170" si="436">RIGHT(J170,5)</f>
        <v>16:52</v>
      </c>
      <c r="L170" s="184" t="str">
        <f t="shared" ref="L170" si="437">H170</f>
        <v>№593</v>
      </c>
      <c r="M170" s="191">
        <f t="shared" ref="M170" si="438">(J170-F170)*24</f>
        <v>1.1833333333488554</v>
      </c>
      <c r="N170" s="61"/>
      <c r="P170" s="169" t="s">
        <v>635</v>
      </c>
      <c r="Q170" s="185">
        <f t="shared" ref="Q170" si="439">(F170-P170)*24</f>
        <v>2.4833333332207985</v>
      </c>
      <c r="R170" s="192">
        <f>Q170-1</f>
        <v>1.4833333332207985</v>
      </c>
    </row>
    <row r="171" spans="1:18" s="62" customFormat="1" ht="18" customHeight="1" thickBot="1">
      <c r="A171" s="486">
        <v>3</v>
      </c>
      <c r="B171" s="190">
        <v>1624</v>
      </c>
      <c r="C171" s="490"/>
      <c r="D171" s="495"/>
      <c r="E171" s="489"/>
      <c r="F171" s="169" t="s">
        <v>899</v>
      </c>
      <c r="G171" s="193" t="str">
        <f t="shared" ref="G171" si="440">RIGHT(F171,5)</f>
        <v>16:15</v>
      </c>
      <c r="H171" s="243" t="s">
        <v>945</v>
      </c>
      <c r="I171" s="184" t="s">
        <v>15</v>
      </c>
      <c r="J171" s="169" t="s">
        <v>900</v>
      </c>
      <c r="K171" s="193" t="str">
        <f t="shared" ref="K171" si="441">RIGHT(J171,5)</f>
        <v>17:34</v>
      </c>
      <c r="L171" s="184" t="str">
        <f t="shared" ref="L171" si="442">H171</f>
        <v>№663</v>
      </c>
      <c r="M171" s="191">
        <f t="shared" ref="M171" si="443">(J171-F171)*24</f>
        <v>1.316666666592937</v>
      </c>
      <c r="N171" s="61"/>
      <c r="P171" s="169" t="s">
        <v>898</v>
      </c>
      <c r="Q171" s="185">
        <f t="shared" ref="Q171" si="444">(F171-P171)*24</f>
        <v>0.66666666674427688</v>
      </c>
      <c r="R171" s="192">
        <f>Q171-Q171</f>
        <v>0</v>
      </c>
    </row>
    <row r="172" spans="1:18" s="62" customFormat="1" ht="18" customHeight="1" thickBot="1">
      <c r="A172" s="123" t="s">
        <v>16</v>
      </c>
      <c r="B172" s="124"/>
      <c r="C172" s="166">
        <f>Пробеги!E84</f>
        <v>13383</v>
      </c>
      <c r="D172" s="167">
        <f>C172*2</f>
        <v>26766</v>
      </c>
      <c r="E172" s="168">
        <f>DAY(EOMONTH($S$427,0))*24-M172-R172</f>
        <v>738.45000000018626</v>
      </c>
      <c r="F172" s="109"/>
      <c r="G172" s="108"/>
      <c r="H172" s="107"/>
      <c r="I172" s="124"/>
      <c r="J172" s="107"/>
      <c r="K172" s="107"/>
      <c r="L172" s="107"/>
      <c r="M172" s="168">
        <f>SUM(M169:M171)</f>
        <v>3.566666666592937</v>
      </c>
      <c r="N172" s="61"/>
      <c r="P172" s="171"/>
      <c r="Q172" s="170">
        <f>SUM(Q169:Q171)</f>
        <v>4.6499999999650754</v>
      </c>
      <c r="R172" s="170">
        <f>SUM(R169:R171)</f>
        <v>1.9833333332207985</v>
      </c>
    </row>
    <row r="173" spans="1:18" s="62" customFormat="1" ht="18" customHeight="1">
      <c r="A173" s="299">
        <v>1</v>
      </c>
      <c r="B173" s="190">
        <v>1625</v>
      </c>
      <c r="C173" s="300"/>
      <c r="D173" s="301"/>
      <c r="E173" s="302"/>
      <c r="F173" s="169" t="s">
        <v>233</v>
      </c>
      <c r="G173" s="193" t="str">
        <f t="shared" ref="G173" si="445">RIGHT(F173,5)</f>
        <v>20:38</v>
      </c>
      <c r="H173" s="243" t="s">
        <v>295</v>
      </c>
      <c r="I173" s="184" t="s">
        <v>15</v>
      </c>
      <c r="J173" s="169" t="s">
        <v>234</v>
      </c>
      <c r="K173" s="193" t="str">
        <f t="shared" ref="K173" si="446">RIGHT(J173,5)</f>
        <v>21:50</v>
      </c>
      <c r="L173" s="184" t="str">
        <f t="shared" ref="L173" si="447">H173</f>
        <v>№511</v>
      </c>
      <c r="M173" s="191">
        <f t="shared" ref="M173" si="448">(J173-F173)*24</f>
        <v>1.1999999998952262</v>
      </c>
      <c r="N173" s="61"/>
      <c r="P173" s="169" t="s">
        <v>232</v>
      </c>
      <c r="Q173" s="185">
        <f t="shared" ref="Q173" si="449">(F173-P173)*24</f>
        <v>11.200000000011642</v>
      </c>
      <c r="R173" s="192">
        <f>Q173-1</f>
        <v>10.200000000011642</v>
      </c>
    </row>
    <row r="174" spans="1:18" s="62" customFormat="1" ht="18" customHeight="1">
      <c r="A174" s="370">
        <v>2</v>
      </c>
      <c r="B174" s="190">
        <v>1625</v>
      </c>
      <c r="C174" s="366"/>
      <c r="D174" s="375"/>
      <c r="E174" s="367"/>
      <c r="F174" s="169" t="s">
        <v>444</v>
      </c>
      <c r="G174" s="193" t="str">
        <f t="shared" ref="G174" si="450">RIGHT(F174,5)</f>
        <v>05:47</v>
      </c>
      <c r="H174" s="243" t="s">
        <v>521</v>
      </c>
      <c r="I174" s="184" t="s">
        <v>15</v>
      </c>
      <c r="J174" s="169" t="s">
        <v>457</v>
      </c>
      <c r="K174" s="193" t="str">
        <f t="shared" ref="K174" si="451">RIGHT(J174,5)</f>
        <v>07:03</v>
      </c>
      <c r="L174" s="184" t="str">
        <f t="shared" ref="L174" si="452">H174</f>
        <v>№571</v>
      </c>
      <c r="M174" s="191">
        <f t="shared" ref="M174" si="453">(J174-F174)*24</f>
        <v>1.2666666666045785</v>
      </c>
      <c r="N174" s="61"/>
      <c r="P174" s="169" t="s">
        <v>443</v>
      </c>
      <c r="Q174" s="185">
        <f t="shared" ref="Q174" si="454">(F174-P174)*24</f>
        <v>0.66666666674427688</v>
      </c>
      <c r="R174" s="192">
        <f>Q174-Q174</f>
        <v>0</v>
      </c>
    </row>
    <row r="175" spans="1:18" s="62" customFormat="1" ht="18" customHeight="1" thickBot="1">
      <c r="A175" s="484">
        <v>3</v>
      </c>
      <c r="B175" s="190">
        <v>1625</v>
      </c>
      <c r="C175" s="482"/>
      <c r="D175" s="485"/>
      <c r="E175" s="483"/>
      <c r="F175" s="169" t="s">
        <v>838</v>
      </c>
      <c r="G175" s="193" t="str">
        <f t="shared" ref="G175" si="455">RIGHT(F175,5)</f>
        <v>11:02</v>
      </c>
      <c r="H175" s="243" t="s">
        <v>855</v>
      </c>
      <c r="I175" s="184" t="s">
        <v>15</v>
      </c>
      <c r="J175" s="169" t="s">
        <v>839</v>
      </c>
      <c r="K175" s="193" t="str">
        <f t="shared" ref="K175" si="456">RIGHT(J175,5)</f>
        <v>12:26</v>
      </c>
      <c r="L175" s="184" t="str">
        <f t="shared" ref="L175" si="457">H175</f>
        <v>№649</v>
      </c>
      <c r="M175" s="191">
        <f t="shared" ref="M175" si="458">(J175-F175)*24</f>
        <v>1.4000000000232831</v>
      </c>
      <c r="N175" s="61"/>
      <c r="P175" s="169" t="s">
        <v>837</v>
      </c>
      <c r="Q175" s="185">
        <f t="shared" ref="Q175" si="459">(F175-P175)*24</f>
        <v>1.7333333333954215</v>
      </c>
      <c r="R175" s="192">
        <f>Q175-1</f>
        <v>0.7333333333954215</v>
      </c>
    </row>
    <row r="176" spans="1:18" s="62" customFormat="1" ht="18" customHeight="1" thickBot="1">
      <c r="A176" s="303" t="s">
        <v>16</v>
      </c>
      <c r="B176" s="304"/>
      <c r="C176" s="305">
        <f>Пробеги!E86</f>
        <v>14179</v>
      </c>
      <c r="D176" s="167">
        <f>C176*2</f>
        <v>28358</v>
      </c>
      <c r="E176" s="306">
        <f>DAY(EOMONTH($S$427,0))*24-M176-R176</f>
        <v>729.20000000006985</v>
      </c>
      <c r="F176" s="118"/>
      <c r="G176" s="119"/>
      <c r="H176" s="117"/>
      <c r="I176" s="304"/>
      <c r="J176" s="117"/>
      <c r="K176" s="117"/>
      <c r="L176" s="117"/>
      <c r="M176" s="306">
        <f>SUM(M173:M175)</f>
        <v>3.8666666665230878</v>
      </c>
      <c r="N176" s="61"/>
      <c r="P176" s="171"/>
      <c r="Q176" s="170">
        <f>SUM(Q173:Q175)</f>
        <v>13.60000000015134</v>
      </c>
      <c r="R176" s="170">
        <f>SUM(R173:R175)</f>
        <v>10.933333333407063</v>
      </c>
    </row>
    <row r="177" spans="1:18" s="62" customFormat="1" ht="18" customHeight="1">
      <c r="A177" s="87"/>
      <c r="B177" s="84"/>
      <c r="C177" s="84"/>
      <c r="D177" s="88"/>
      <c r="E177" s="89"/>
      <c r="F177" s="83"/>
      <c r="G177" s="85"/>
      <c r="H177" s="84"/>
      <c r="I177" s="84"/>
      <c r="J177" s="84"/>
      <c r="K177" s="84"/>
      <c r="L177" s="84"/>
      <c r="M177" s="89"/>
      <c r="N177" s="61"/>
      <c r="P177" s="90"/>
      <c r="Q177" s="91"/>
      <c r="R177" s="91"/>
    </row>
    <row r="178" spans="1:18" s="62" customFormat="1" ht="18" customHeight="1">
      <c r="A178" s="87"/>
      <c r="B178" s="84"/>
      <c r="C178" s="84"/>
      <c r="D178" s="88"/>
      <c r="E178" s="89"/>
      <c r="F178" s="83"/>
      <c r="G178" s="85"/>
      <c r="H178" s="84"/>
      <c r="I178" s="84"/>
      <c r="J178" s="84"/>
      <c r="K178" s="84"/>
      <c r="L178" s="580" t="s">
        <v>1206</v>
      </c>
      <c r="M178" s="580"/>
      <c r="N178" s="61"/>
      <c r="P178" s="90"/>
      <c r="Q178" s="91"/>
      <c r="R178" s="91"/>
    </row>
    <row r="179" spans="1:18" s="62" customFormat="1" ht="18" customHeight="1">
      <c r="A179" s="258">
        <v>1</v>
      </c>
      <c r="B179" s="272">
        <v>1626</v>
      </c>
      <c r="C179" s="273"/>
      <c r="D179" s="274"/>
      <c r="E179" s="260"/>
      <c r="F179" s="169" t="s">
        <v>174</v>
      </c>
      <c r="G179" s="193" t="str">
        <f t="shared" ref="G179" si="460">RIGHT(F179,5)</f>
        <v>05:29</v>
      </c>
      <c r="H179" s="243" t="s">
        <v>296</v>
      </c>
      <c r="I179" s="184" t="s">
        <v>15</v>
      </c>
      <c r="J179" s="169" t="s">
        <v>235</v>
      </c>
      <c r="K179" s="193" t="str">
        <f t="shared" ref="K179" si="461">RIGHT(J179,5)</f>
        <v>06:53</v>
      </c>
      <c r="L179" s="184" t="str">
        <f t="shared" ref="L179" si="462">H179</f>
        <v>№504</v>
      </c>
      <c r="M179" s="191">
        <f t="shared" ref="M179" si="463">(J179-F179)*24</f>
        <v>1.4000000000232831</v>
      </c>
      <c r="N179" s="61"/>
      <c r="P179" s="169" t="s">
        <v>173</v>
      </c>
      <c r="Q179" s="185">
        <f t="shared" ref="Q179" si="464">(F179-P179)*24</f>
        <v>5.53333333338378</v>
      </c>
      <c r="R179" s="192">
        <f>Q179-1</f>
        <v>4.53333333338378</v>
      </c>
    </row>
    <row r="180" spans="1:18" s="62" customFormat="1" ht="18" customHeight="1">
      <c r="A180" s="370">
        <v>2</v>
      </c>
      <c r="B180" s="272">
        <v>1626</v>
      </c>
      <c r="C180" s="366"/>
      <c r="D180" s="375"/>
      <c r="E180" s="367"/>
      <c r="F180" s="169" t="s">
        <v>446</v>
      </c>
      <c r="G180" s="193" t="str">
        <f t="shared" ref="G180:G181" si="465">RIGHT(F180,5)</f>
        <v>14:13</v>
      </c>
      <c r="H180" s="243" t="s">
        <v>539</v>
      </c>
      <c r="I180" s="184" t="s">
        <v>15</v>
      </c>
      <c r="J180" s="169" t="s">
        <v>447</v>
      </c>
      <c r="K180" s="193" t="str">
        <f t="shared" ref="K180:K181" si="466">RIGHT(J180,5)</f>
        <v>15:15</v>
      </c>
      <c r="L180" s="184" t="str">
        <f t="shared" ref="L180:L181" si="467">H180</f>
        <v>№567</v>
      </c>
      <c r="M180" s="191">
        <f t="shared" ref="M180:M181" si="468">(J180-F180)*24</f>
        <v>1.033333333209157</v>
      </c>
      <c r="N180" s="61"/>
      <c r="P180" s="169" t="s">
        <v>445</v>
      </c>
      <c r="Q180" s="185">
        <f t="shared" ref="Q180:Q181" si="469">(F180-P180)*24</f>
        <v>4.1000000000931323</v>
      </c>
      <c r="R180" s="192">
        <f>Q180-1</f>
        <v>3.1000000000931323</v>
      </c>
    </row>
    <row r="181" spans="1:18" s="62" customFormat="1" ht="18" customHeight="1">
      <c r="A181" s="468">
        <v>3</v>
      </c>
      <c r="B181" s="272">
        <v>1626</v>
      </c>
      <c r="C181" s="466"/>
      <c r="D181" s="469"/>
      <c r="E181" s="467"/>
      <c r="F181" s="169" t="s">
        <v>787</v>
      </c>
      <c r="G181" s="193" t="str">
        <f t="shared" si="465"/>
        <v>13:09</v>
      </c>
      <c r="H181" s="243" t="s">
        <v>818</v>
      </c>
      <c r="I181" s="184" t="s">
        <v>51</v>
      </c>
      <c r="J181" s="169" t="s">
        <v>788</v>
      </c>
      <c r="K181" s="193" t="str">
        <f t="shared" si="466"/>
        <v>17:28</v>
      </c>
      <c r="L181" s="184" t="str">
        <f t="shared" si="467"/>
        <v>№РЦ14/31</v>
      </c>
      <c r="M181" s="191">
        <f t="shared" si="468"/>
        <v>4.316666666592937</v>
      </c>
      <c r="N181" s="61"/>
      <c r="P181" s="169" t="s">
        <v>765</v>
      </c>
      <c r="Q181" s="185">
        <f t="shared" si="469"/>
        <v>20.333333333430346</v>
      </c>
      <c r="R181" s="384">
        <v>0</v>
      </c>
    </row>
    <row r="182" spans="1:18" s="62" customFormat="1" ht="18" customHeight="1" thickBot="1">
      <c r="A182" s="484">
        <v>4</v>
      </c>
      <c r="B182" s="272">
        <v>1626</v>
      </c>
      <c r="C182" s="482"/>
      <c r="D182" s="485"/>
      <c r="E182" s="483"/>
      <c r="F182" s="169" t="s">
        <v>841</v>
      </c>
      <c r="G182" s="193" t="str">
        <f t="shared" ref="G182" si="470">RIGHT(F182,5)</f>
        <v>14:17</v>
      </c>
      <c r="H182" s="243" t="s">
        <v>856</v>
      </c>
      <c r="I182" s="184" t="s">
        <v>15</v>
      </c>
      <c r="J182" s="169" t="s">
        <v>842</v>
      </c>
      <c r="K182" s="193" t="str">
        <f t="shared" ref="K182" si="471">RIGHT(J182,5)</f>
        <v>15:37</v>
      </c>
      <c r="L182" s="184" t="str">
        <f t="shared" ref="L182" si="472">H182</f>
        <v>№651</v>
      </c>
      <c r="M182" s="191">
        <f t="shared" ref="M182" si="473">(J182-F182)*24</f>
        <v>1.3333333333139308</v>
      </c>
      <c r="N182" s="61"/>
      <c r="P182" s="169" t="s">
        <v>840</v>
      </c>
      <c r="Q182" s="185">
        <f t="shared" ref="Q182" si="474">(F182-P182)*24</f>
        <v>3.1666666666860692</v>
      </c>
      <c r="R182" s="192">
        <f>Q182-1</f>
        <v>2.1666666666860692</v>
      </c>
    </row>
    <row r="183" spans="1:18" s="62" customFormat="1" ht="18" customHeight="1" thickBot="1">
      <c r="A183" s="275" t="s">
        <v>16</v>
      </c>
      <c r="B183" s="276"/>
      <c r="C183" s="277">
        <f>Пробеги!E88</f>
        <v>13679</v>
      </c>
      <c r="D183" s="167">
        <f>C183*2</f>
        <v>27358</v>
      </c>
      <c r="E183" s="278">
        <f>DAY(EOMONTH($S$427,0))*24-M183-R183</f>
        <v>726.11666666669771</v>
      </c>
      <c r="F183" s="121"/>
      <c r="G183" s="122"/>
      <c r="H183" s="120"/>
      <c r="I183" s="120"/>
      <c r="J183" s="120"/>
      <c r="K183" s="120"/>
      <c r="L183" s="120"/>
      <c r="M183" s="278">
        <f>SUM(M179:M182)</f>
        <v>8.0833333331393078</v>
      </c>
      <c r="N183" s="61"/>
      <c r="P183" s="171"/>
      <c r="Q183" s="170">
        <f>SUM(Q179:Q182)</f>
        <v>33.133333333593328</v>
      </c>
      <c r="R183" s="170">
        <f>SUM(R179:R182)</f>
        <v>9.8000000001629815</v>
      </c>
    </row>
    <row r="184" spans="1:18" s="62" customFormat="1" ht="18" customHeight="1">
      <c r="A184" s="244">
        <v>1</v>
      </c>
      <c r="B184" s="307">
        <v>1627</v>
      </c>
      <c r="C184" s="245"/>
      <c r="D184" s="246"/>
      <c r="E184" s="247"/>
      <c r="F184" s="169" t="s">
        <v>237</v>
      </c>
      <c r="G184" s="193" t="str">
        <f t="shared" ref="G184" si="475">RIGHT(F184,5)</f>
        <v>17:08</v>
      </c>
      <c r="H184" s="243" t="s">
        <v>297</v>
      </c>
      <c r="I184" s="184" t="s">
        <v>15</v>
      </c>
      <c r="J184" s="169" t="s">
        <v>238</v>
      </c>
      <c r="K184" s="193" t="str">
        <f t="shared" ref="K184" si="476">RIGHT(J184,5)</f>
        <v>18:17</v>
      </c>
      <c r="L184" s="184" t="str">
        <f t="shared" ref="L184" si="477">H184</f>
        <v>№509</v>
      </c>
      <c r="M184" s="191">
        <f t="shared" ref="M184" si="478">(J184-F184)*24</f>
        <v>1.1500000000814907</v>
      </c>
      <c r="N184" s="61"/>
      <c r="P184" s="169" t="s">
        <v>236</v>
      </c>
      <c r="Q184" s="185">
        <f t="shared" ref="Q184" si="479">(F184-P184)*24</f>
        <v>1.1333333333604969</v>
      </c>
      <c r="R184" s="192">
        <f>Q184-1</f>
        <v>0.13333333336049691</v>
      </c>
    </row>
    <row r="185" spans="1:18" s="62" customFormat="1" ht="18" customHeight="1">
      <c r="A185" s="370">
        <v>2</v>
      </c>
      <c r="B185" s="307">
        <v>1627</v>
      </c>
      <c r="C185" s="366"/>
      <c r="D185" s="375"/>
      <c r="E185" s="367"/>
      <c r="F185" s="169" t="s">
        <v>449</v>
      </c>
      <c r="G185" s="193" t="str">
        <f t="shared" ref="G185" si="480">RIGHT(F185,5)</f>
        <v>03:01</v>
      </c>
      <c r="H185" s="243" t="s">
        <v>488</v>
      </c>
      <c r="I185" s="184" t="s">
        <v>15</v>
      </c>
      <c r="J185" s="169" t="s">
        <v>450</v>
      </c>
      <c r="K185" s="193" t="str">
        <f t="shared" ref="K185" si="481">RIGHT(J185,5)</f>
        <v>04:07</v>
      </c>
      <c r="L185" s="184" t="str">
        <f t="shared" ref="L185" si="482">H185</f>
        <v>№556</v>
      </c>
      <c r="M185" s="191">
        <f t="shared" ref="M185" si="483">(J185-F185)*24</f>
        <v>1.0999999999185093</v>
      </c>
      <c r="N185" s="61"/>
      <c r="P185" s="169" t="s">
        <v>448</v>
      </c>
      <c r="Q185" s="185">
        <f t="shared" ref="Q185" si="484">(F185-P185)*24</f>
        <v>3.3333333441987634E-2</v>
      </c>
      <c r="R185" s="192">
        <f>Q185-Q185</f>
        <v>0</v>
      </c>
    </row>
    <row r="186" spans="1:18" s="62" customFormat="1" ht="18" customHeight="1">
      <c r="A186" s="451">
        <v>3</v>
      </c>
      <c r="B186" s="307">
        <v>1627</v>
      </c>
      <c r="C186" s="449"/>
      <c r="D186" s="463"/>
      <c r="E186" s="450"/>
      <c r="F186" s="169" t="s">
        <v>639</v>
      </c>
      <c r="G186" s="193" t="str">
        <f t="shared" ref="G186:G187" si="485">RIGHT(F186,5)</f>
        <v>15:27</v>
      </c>
      <c r="H186" s="243" t="s">
        <v>707</v>
      </c>
      <c r="I186" s="184" t="s">
        <v>15</v>
      </c>
      <c r="J186" s="169" t="s">
        <v>640</v>
      </c>
      <c r="K186" s="193" t="str">
        <f t="shared" ref="K186:K187" si="486">RIGHT(J186,5)</f>
        <v>16:31</v>
      </c>
      <c r="L186" s="184" t="str">
        <f t="shared" ref="L186:L187" si="487">H186</f>
        <v>№622</v>
      </c>
      <c r="M186" s="191">
        <f t="shared" ref="M186:M187" si="488">(J186-F186)*24</f>
        <v>1.0666666666511446</v>
      </c>
      <c r="N186" s="61"/>
      <c r="P186" s="169" t="s">
        <v>638</v>
      </c>
      <c r="Q186" s="185">
        <f t="shared" ref="Q186:Q187" si="489">(F186-P186)*24</f>
        <v>0.81666666670935228</v>
      </c>
      <c r="R186" s="192">
        <f>Q186</f>
        <v>0.81666666670935228</v>
      </c>
    </row>
    <row r="187" spans="1:18" s="62" customFormat="1" ht="18" customHeight="1" thickBot="1">
      <c r="A187" s="468">
        <v>4</v>
      </c>
      <c r="B187" s="307">
        <v>1627</v>
      </c>
      <c r="C187" s="466"/>
      <c r="D187" s="469"/>
      <c r="E187" s="467"/>
      <c r="F187" s="169" t="s">
        <v>789</v>
      </c>
      <c r="G187" s="193" t="str">
        <f t="shared" si="485"/>
        <v>09:57</v>
      </c>
      <c r="H187" s="243" t="s">
        <v>819</v>
      </c>
      <c r="I187" s="184" t="s">
        <v>51</v>
      </c>
      <c r="J187" s="169" t="s">
        <v>790</v>
      </c>
      <c r="K187" s="193" t="str">
        <f t="shared" si="486"/>
        <v>13:51</v>
      </c>
      <c r="L187" s="184" t="str">
        <f t="shared" si="487"/>
        <v>№261</v>
      </c>
      <c r="M187" s="191">
        <f t="shared" si="488"/>
        <v>3.8999999999650754</v>
      </c>
      <c r="N187" s="61"/>
      <c r="P187" s="169" t="s">
        <v>766</v>
      </c>
      <c r="Q187" s="185">
        <f t="shared" si="489"/>
        <v>11.649999999906868</v>
      </c>
      <c r="R187" s="192">
        <f>Q187+V371</f>
        <v>21.849999999976717</v>
      </c>
    </row>
    <row r="188" spans="1:18" s="62" customFormat="1" ht="18" customHeight="1" thickBot="1">
      <c r="A188" s="123" t="s">
        <v>16</v>
      </c>
      <c r="B188" s="124"/>
      <c r="C188" s="166">
        <f>Пробеги!E90</f>
        <v>13961</v>
      </c>
      <c r="D188" s="167">
        <f>C188*2</f>
        <v>27922</v>
      </c>
      <c r="E188" s="168">
        <f>DAY(EOMONTH($S$427,0))*24-M188-R188</f>
        <v>713.98333333333721</v>
      </c>
      <c r="F188" s="109"/>
      <c r="G188" s="108"/>
      <c r="H188" s="124"/>
      <c r="I188" s="124"/>
      <c r="J188" s="124"/>
      <c r="K188" s="124"/>
      <c r="L188" s="124"/>
      <c r="M188" s="168">
        <f>SUM(M184:M187)</f>
        <v>7.21666666661622</v>
      </c>
      <c r="N188" s="61"/>
      <c r="P188" s="171"/>
      <c r="Q188" s="170">
        <f>SUM(Q184:Q187)</f>
        <v>13.633333333418705</v>
      </c>
      <c r="R188" s="170">
        <f>SUM(R184:R187)</f>
        <v>22.800000000046566</v>
      </c>
    </row>
    <row r="189" spans="1:18" s="62" customFormat="1" ht="18" customHeight="1">
      <c r="A189" s="189">
        <v>1</v>
      </c>
      <c r="B189" s="190">
        <v>1628</v>
      </c>
      <c r="C189" s="184"/>
      <c r="D189" s="200"/>
      <c r="E189" s="191"/>
      <c r="F189" s="169" t="s">
        <v>176</v>
      </c>
      <c r="G189" s="193" t="str">
        <f t="shared" ref="G189" si="490">RIGHT(F189,5)</f>
        <v>21:16</v>
      </c>
      <c r="H189" s="243" t="s">
        <v>298</v>
      </c>
      <c r="I189" s="184" t="s">
        <v>15</v>
      </c>
      <c r="J189" s="169" t="s">
        <v>177</v>
      </c>
      <c r="K189" s="193" t="str">
        <f t="shared" ref="K189" si="491">RIGHT(J189,5)</f>
        <v>22:34</v>
      </c>
      <c r="L189" s="184" t="str">
        <f t="shared" ref="L189" si="492">H189</f>
        <v>№500</v>
      </c>
      <c r="M189" s="191">
        <f t="shared" ref="M189" si="493">(J189-F189)*24</f>
        <v>1.3000000000465661</v>
      </c>
      <c r="N189" s="61"/>
      <c r="P189" s="169" t="s">
        <v>175</v>
      </c>
      <c r="Q189" s="185">
        <f t="shared" ref="Q189" si="494">(F189-P189)*24</f>
        <v>4.3833333333022892</v>
      </c>
      <c r="R189" s="192">
        <f>Q189-1</f>
        <v>3.3833333333022892</v>
      </c>
    </row>
    <row r="190" spans="1:18" s="62" customFormat="1" ht="18" customHeight="1">
      <c r="A190" s="370">
        <v>2</v>
      </c>
      <c r="B190" s="190">
        <v>1628</v>
      </c>
      <c r="C190" s="366"/>
      <c r="D190" s="375"/>
      <c r="E190" s="367"/>
      <c r="F190" s="169" t="s">
        <v>452</v>
      </c>
      <c r="G190" s="193" t="str">
        <f t="shared" ref="G190" si="495">RIGHT(F190,5)</f>
        <v>17:58</v>
      </c>
      <c r="H190" s="243" t="s">
        <v>522</v>
      </c>
      <c r="I190" s="184" t="s">
        <v>15</v>
      </c>
      <c r="J190" s="169" t="s">
        <v>453</v>
      </c>
      <c r="K190" s="193" t="str">
        <f t="shared" ref="K190" si="496">RIGHT(J190,5)</f>
        <v>19:03</v>
      </c>
      <c r="L190" s="184" t="str">
        <f t="shared" ref="L190" si="497">H190</f>
        <v>№569</v>
      </c>
      <c r="M190" s="191">
        <f t="shared" ref="M190" si="498">(J190-F190)*24</f>
        <v>1.0833333331975155</v>
      </c>
      <c r="N190" s="61"/>
      <c r="P190" s="169" t="s">
        <v>451</v>
      </c>
      <c r="Q190" s="185">
        <f t="shared" ref="Q190" si="499">(F190-P190)*24</f>
        <v>0.45000000006984919</v>
      </c>
      <c r="R190" s="192">
        <f>Q190-Q190</f>
        <v>0</v>
      </c>
    </row>
    <row r="191" spans="1:18" s="62" customFormat="1" ht="18" customHeight="1" thickBot="1">
      <c r="A191" s="468">
        <v>3</v>
      </c>
      <c r="B191" s="190">
        <v>1628</v>
      </c>
      <c r="C191" s="466"/>
      <c r="D191" s="469"/>
      <c r="E191" s="467"/>
      <c r="F191" s="169" t="s">
        <v>764</v>
      </c>
      <c r="G191" s="193" t="str">
        <f t="shared" ref="G191" si="500">RIGHT(F191,5)</f>
        <v>05:49</v>
      </c>
      <c r="H191" s="243" t="s">
        <v>778</v>
      </c>
      <c r="I191" s="184" t="s">
        <v>15</v>
      </c>
      <c r="J191" s="169" t="s">
        <v>791</v>
      </c>
      <c r="K191" s="193" t="str">
        <f t="shared" ref="K191" si="501">RIGHT(J191,5)</f>
        <v>07:00</v>
      </c>
      <c r="L191" s="184" t="str">
        <f t="shared" ref="L191" si="502">H191</f>
        <v>№638</v>
      </c>
      <c r="M191" s="191">
        <f t="shared" ref="M191" si="503">(J191-F191)*24</f>
        <v>1.1833333333488554</v>
      </c>
      <c r="N191" s="61"/>
      <c r="P191" s="169" t="s">
        <v>763</v>
      </c>
      <c r="Q191" s="185">
        <f t="shared" ref="Q191" si="504">(F191-P191)*24</f>
        <v>0.94999999995343387</v>
      </c>
      <c r="R191" s="192">
        <f>Q191-Q191</f>
        <v>0</v>
      </c>
    </row>
    <row r="192" spans="1:18" s="62" customFormat="1" ht="18" customHeight="1" thickBot="1">
      <c r="A192" s="123" t="s">
        <v>16</v>
      </c>
      <c r="B192" s="124"/>
      <c r="C192" s="166">
        <f>Пробеги!E92</f>
        <v>13986</v>
      </c>
      <c r="D192" s="167">
        <f>C192*2</f>
        <v>27972</v>
      </c>
      <c r="E192" s="168">
        <f>DAY(EOMONTH($S$427,0))*24-M192-R192</f>
        <v>737.05000000010477</v>
      </c>
      <c r="F192" s="109"/>
      <c r="G192" s="108"/>
      <c r="H192" s="107"/>
      <c r="I192" s="107"/>
      <c r="J192" s="107"/>
      <c r="K192" s="107"/>
      <c r="L192" s="107"/>
      <c r="M192" s="168">
        <f>SUM(M189:M191)</f>
        <v>3.566666666592937</v>
      </c>
      <c r="N192" s="61"/>
      <c r="P192" s="171"/>
      <c r="Q192" s="170">
        <f>SUM(Q189:Q191)</f>
        <v>5.7833333333255723</v>
      </c>
      <c r="R192" s="170">
        <f>SUM(R189:R191)</f>
        <v>3.3833333333022892</v>
      </c>
    </row>
    <row r="193" spans="1:18" s="62" customFormat="1" ht="18" customHeight="1">
      <c r="A193" s="189">
        <v>1</v>
      </c>
      <c r="B193" s="190">
        <v>1629</v>
      </c>
      <c r="C193" s="184"/>
      <c r="D193" s="200"/>
      <c r="E193" s="191"/>
      <c r="F193" s="169" t="s">
        <v>112</v>
      </c>
      <c r="G193" s="193" t="str">
        <f t="shared" ref="G193" si="505">RIGHT(F193,5)</f>
        <v>20:21</v>
      </c>
      <c r="H193" s="243" t="s">
        <v>299</v>
      </c>
      <c r="I193" s="184" t="s">
        <v>15</v>
      </c>
      <c r="J193" s="169" t="s">
        <v>113</v>
      </c>
      <c r="K193" s="193" t="str">
        <f t="shared" ref="K193" si="506">RIGHT(J193,5)</f>
        <v>21:30</v>
      </c>
      <c r="L193" s="184" t="str">
        <f t="shared" ref="L193" si="507">H193</f>
        <v>№483</v>
      </c>
      <c r="M193" s="191">
        <f t="shared" ref="M193" si="508">(J193-F193)*24</f>
        <v>1.1500000000814907</v>
      </c>
      <c r="N193" s="61"/>
      <c r="P193" s="169" t="s">
        <v>111</v>
      </c>
      <c r="Q193" s="185">
        <f t="shared" ref="Q193" si="509">(F193-P193)*24</f>
        <v>1.2333333333372138</v>
      </c>
      <c r="R193" s="192">
        <f>Q193-1</f>
        <v>0.23333333333721384</v>
      </c>
    </row>
    <row r="194" spans="1:18" s="62" customFormat="1" ht="18" customHeight="1">
      <c r="A194" s="349">
        <v>2</v>
      </c>
      <c r="B194" s="190">
        <v>1629</v>
      </c>
      <c r="C194" s="347"/>
      <c r="D194" s="351"/>
      <c r="E194" s="348"/>
      <c r="F194" s="169" t="s">
        <v>385</v>
      </c>
      <c r="G194" s="193" t="str">
        <f t="shared" ref="G194" si="510">RIGHT(F194,5)</f>
        <v>08:50</v>
      </c>
      <c r="H194" s="243" t="s">
        <v>412</v>
      </c>
      <c r="I194" s="184" t="s">
        <v>15</v>
      </c>
      <c r="J194" s="169" t="s">
        <v>386</v>
      </c>
      <c r="K194" s="193" t="str">
        <f t="shared" ref="K194" si="511">RIGHT(J194,5)</f>
        <v>10:00</v>
      </c>
      <c r="L194" s="184" t="str">
        <f t="shared" ref="L194" si="512">H194</f>
        <v>№546</v>
      </c>
      <c r="M194" s="191">
        <f t="shared" ref="M194" si="513">(J194-F194)*24</f>
        <v>1.1666666666278616</v>
      </c>
      <c r="N194" s="61"/>
      <c r="P194" s="169" t="s">
        <v>356</v>
      </c>
      <c r="Q194" s="185">
        <f t="shared" ref="Q194" si="514">(F194-P194)*24</f>
        <v>3.5833333333139308</v>
      </c>
      <c r="R194" s="192">
        <f>Q194-1</f>
        <v>2.5833333333139308</v>
      </c>
    </row>
    <row r="195" spans="1:18" s="62" customFormat="1" ht="18" customHeight="1" thickBot="1">
      <c r="A195" s="451">
        <v>3</v>
      </c>
      <c r="B195" s="190">
        <v>1629</v>
      </c>
      <c r="C195" s="449"/>
      <c r="D195" s="463"/>
      <c r="E195" s="450"/>
      <c r="F195" s="169" t="s">
        <v>642</v>
      </c>
      <c r="G195" s="193" t="str">
        <f t="shared" ref="G195" si="515">RIGHT(F195,5)</f>
        <v>09:11</v>
      </c>
      <c r="H195" s="243" t="s">
        <v>708</v>
      </c>
      <c r="I195" s="184" t="s">
        <v>15</v>
      </c>
      <c r="J195" s="169" t="s">
        <v>643</v>
      </c>
      <c r="K195" s="193" t="str">
        <f t="shared" ref="K195" si="516">RIGHT(J195,5)</f>
        <v>10:14</v>
      </c>
      <c r="L195" s="184" t="str">
        <f t="shared" ref="L195" si="517">H195</f>
        <v>№619</v>
      </c>
      <c r="M195" s="191">
        <f t="shared" ref="M195" si="518">(J195-F195)*24</f>
        <v>1.0499999999301508</v>
      </c>
      <c r="N195" s="61"/>
      <c r="P195" s="169" t="s">
        <v>641</v>
      </c>
      <c r="Q195" s="185">
        <f t="shared" ref="Q195" si="519">(F195-P195)*24</f>
        <v>14.333333333430346</v>
      </c>
      <c r="R195" s="192">
        <f>Q195-1</f>
        <v>13.333333333430346</v>
      </c>
    </row>
    <row r="196" spans="1:18" s="62" customFormat="1" ht="18" customHeight="1" thickBot="1">
      <c r="A196" s="123" t="s">
        <v>16</v>
      </c>
      <c r="B196" s="124"/>
      <c r="C196" s="166">
        <f>Пробеги!E94</f>
        <v>14988</v>
      </c>
      <c r="D196" s="167">
        <f>C196*2</f>
        <v>29976</v>
      </c>
      <c r="E196" s="168">
        <f>DAY(EOMONTH($S$427,0))*24-M196-R196</f>
        <v>724.48333333327901</v>
      </c>
      <c r="F196" s="109"/>
      <c r="G196" s="108"/>
      <c r="H196" s="107"/>
      <c r="I196" s="124"/>
      <c r="J196" s="107"/>
      <c r="K196" s="107"/>
      <c r="L196" s="107"/>
      <c r="M196" s="168">
        <f>SUM(M193:M195)</f>
        <v>3.3666666666395031</v>
      </c>
      <c r="N196" s="61"/>
      <c r="P196" s="171"/>
      <c r="Q196" s="170">
        <f>SUM(Q193:Q195)</f>
        <v>19.150000000081491</v>
      </c>
      <c r="R196" s="170">
        <f>SUM(R193:R195)</f>
        <v>16.150000000081491</v>
      </c>
    </row>
    <row r="197" spans="1:18" s="62" customFormat="1" ht="18" customHeight="1">
      <c r="A197" s="189">
        <v>1</v>
      </c>
      <c r="B197" s="190">
        <v>1630</v>
      </c>
      <c r="C197" s="184"/>
      <c r="D197" s="200"/>
      <c r="E197" s="191"/>
      <c r="F197" s="169" t="s">
        <v>71</v>
      </c>
      <c r="G197" s="193" t="str">
        <f t="shared" ref="G197" si="520">RIGHT(F197,5)</f>
        <v>08:39</v>
      </c>
      <c r="H197" s="243" t="s">
        <v>102</v>
      </c>
      <c r="I197" s="184" t="s">
        <v>15</v>
      </c>
      <c r="J197" s="169" t="s">
        <v>72</v>
      </c>
      <c r="K197" s="193" t="str">
        <f t="shared" ref="K197" si="521">RIGHT(J197,5)</f>
        <v>10:16</v>
      </c>
      <c r="L197" s="184" t="str">
        <f t="shared" ref="L197" si="522">H197</f>
        <v>№467</v>
      </c>
      <c r="M197" s="191">
        <f t="shared" ref="M197" si="523">(J197-F197)*24</f>
        <v>1.6166666665230878</v>
      </c>
      <c r="N197" s="61"/>
      <c r="P197" s="169" t="s">
        <v>70</v>
      </c>
      <c r="Q197" s="185">
        <f t="shared" ref="Q197" si="524">(F197-P197)*24</f>
        <v>6.5166666667792015</v>
      </c>
      <c r="R197" s="192">
        <f>Q197-1</f>
        <v>5.5166666667792015</v>
      </c>
    </row>
    <row r="198" spans="1:18" s="62" customFormat="1" ht="18" customHeight="1">
      <c r="A198" s="296">
        <v>2</v>
      </c>
      <c r="B198" s="190">
        <v>1630</v>
      </c>
      <c r="C198" s="289"/>
      <c r="D198" s="297"/>
      <c r="E198" s="290"/>
      <c r="F198" s="169" t="s">
        <v>240</v>
      </c>
      <c r="G198" s="193" t="str">
        <f t="shared" ref="G198" si="525">RIGHT(F198,5)</f>
        <v>20:56</v>
      </c>
      <c r="H198" s="243" t="s">
        <v>402</v>
      </c>
      <c r="I198" s="184" t="s">
        <v>15</v>
      </c>
      <c r="J198" s="169" t="s">
        <v>241</v>
      </c>
      <c r="K198" s="193" t="str">
        <f t="shared" ref="K198" si="526">RIGHT(J198,5)</f>
        <v>22:15</v>
      </c>
      <c r="L198" s="184" t="str">
        <f t="shared" ref="L198" si="527">H198</f>
        <v>№528</v>
      </c>
      <c r="M198" s="191">
        <f t="shared" ref="M198" si="528">(J198-F198)*24</f>
        <v>1.3166666667675599</v>
      </c>
      <c r="N198" s="61"/>
      <c r="P198" s="169" t="s">
        <v>239</v>
      </c>
      <c r="Q198" s="185">
        <f t="shared" ref="Q198" si="529">(F198-P198)*24</f>
        <v>6.2333333332207985</v>
      </c>
      <c r="R198" s="192">
        <f>Q198-1</f>
        <v>5.2333333332207985</v>
      </c>
    </row>
    <row r="199" spans="1:18" s="62" customFormat="1" ht="18" customHeight="1">
      <c r="A199" s="451">
        <v>3</v>
      </c>
      <c r="B199" s="190">
        <v>1630</v>
      </c>
      <c r="C199" s="449"/>
      <c r="D199" s="463"/>
      <c r="E199" s="450"/>
      <c r="F199" s="169" t="s">
        <v>645</v>
      </c>
      <c r="G199" s="193" t="str">
        <f t="shared" ref="G199" si="530">RIGHT(F199,5)</f>
        <v>23:43</v>
      </c>
      <c r="H199" s="243" t="s">
        <v>726</v>
      </c>
      <c r="I199" s="184" t="s">
        <v>15</v>
      </c>
      <c r="J199" s="169" t="s">
        <v>646</v>
      </c>
      <c r="K199" s="193" t="str">
        <f t="shared" ref="K199" si="531">RIGHT(J199,5)</f>
        <v>00:49</v>
      </c>
      <c r="L199" s="184" t="str">
        <f t="shared" ref="L199" si="532">H199</f>
        <v>№598</v>
      </c>
      <c r="M199" s="191">
        <f t="shared" ref="M199" si="533">(J199-F199)*24</f>
        <v>1.1000000000931323</v>
      </c>
      <c r="N199" s="61"/>
      <c r="P199" s="169" t="s">
        <v>644</v>
      </c>
      <c r="Q199" s="185">
        <f t="shared" ref="Q199" si="534">(F199-P199)*24</f>
        <v>4.1999999998952262</v>
      </c>
      <c r="R199" s="192">
        <f>Q199-1</f>
        <v>3.1999999998952262</v>
      </c>
    </row>
    <row r="200" spans="1:18" s="62" customFormat="1" ht="18" customHeight="1" thickBot="1">
      <c r="A200" s="514">
        <v>4</v>
      </c>
      <c r="B200" s="190">
        <v>1630</v>
      </c>
      <c r="C200" s="515"/>
      <c r="D200" s="516"/>
      <c r="E200" s="517"/>
      <c r="F200" s="452" t="s">
        <v>1001</v>
      </c>
      <c r="G200" s="457" t="str">
        <f t="shared" ref="G200" si="535">RIGHT(F200,5)</f>
        <v>13:45</v>
      </c>
      <c r="H200" s="243" t="s">
        <v>1008</v>
      </c>
      <c r="I200" s="184" t="s">
        <v>15</v>
      </c>
      <c r="J200" s="169" t="s">
        <v>1006</v>
      </c>
      <c r="K200" s="193" t="str">
        <f t="shared" ref="K200" si="536">RIGHT(J200,5)</f>
        <v>14:51</v>
      </c>
      <c r="L200" s="184" t="str">
        <f t="shared" ref="L200" si="537">H200</f>
        <v>№684</v>
      </c>
      <c r="M200" s="191">
        <f t="shared" ref="M200" si="538">(J200-F200)*24</f>
        <v>1.1000000000931323</v>
      </c>
      <c r="N200" s="61"/>
      <c r="P200" s="169" t="s">
        <v>994</v>
      </c>
      <c r="Q200" s="185">
        <f t="shared" ref="Q200" si="539">(F200-P200)*24</f>
        <v>6.0499999999883585</v>
      </c>
      <c r="R200" s="192">
        <f>Q200-1</f>
        <v>5.0499999999883585</v>
      </c>
    </row>
    <row r="201" spans="1:18" s="62" customFormat="1" ht="18" customHeight="1" thickBot="1">
      <c r="A201" s="123" t="s">
        <v>16</v>
      </c>
      <c r="B201" s="124"/>
      <c r="C201" s="166">
        <f>Пробеги!E96</f>
        <v>14235</v>
      </c>
      <c r="D201" s="167">
        <f>C201*2</f>
        <v>28470</v>
      </c>
      <c r="E201" s="168">
        <f>DAY(EOMONTH($S$427,0))*24-M201-R201</f>
        <v>719.8666666666395</v>
      </c>
      <c r="F201" s="109"/>
      <c r="G201" s="108"/>
      <c r="H201" s="107"/>
      <c r="I201" s="107"/>
      <c r="J201" s="107"/>
      <c r="K201" s="107"/>
      <c r="L201" s="107"/>
      <c r="M201" s="168">
        <f>SUM(M197:M200)</f>
        <v>5.1333333334769122</v>
      </c>
      <c r="N201" s="61"/>
      <c r="P201" s="171"/>
      <c r="Q201" s="170">
        <f>SUM(Q197:Q200)</f>
        <v>22.999999999883585</v>
      </c>
      <c r="R201" s="170">
        <f>SUM(R197:R200)</f>
        <v>18.999999999883585</v>
      </c>
    </row>
    <row r="202" spans="1:18" s="62" customFormat="1" ht="18" customHeight="1">
      <c r="A202" s="244">
        <v>1</v>
      </c>
      <c r="B202" s="190">
        <v>1631</v>
      </c>
      <c r="C202" s="245"/>
      <c r="D202" s="246"/>
      <c r="E202" s="247"/>
      <c r="F202" s="169" t="s">
        <v>115</v>
      </c>
      <c r="G202" s="193" t="str">
        <f t="shared" ref="G202" si="540">RIGHT(F202,5)</f>
        <v>03:26</v>
      </c>
      <c r="H202" s="243" t="s">
        <v>300</v>
      </c>
      <c r="I202" s="184" t="s">
        <v>15</v>
      </c>
      <c r="J202" s="169" t="s">
        <v>116</v>
      </c>
      <c r="K202" s="193" t="str">
        <f t="shared" ref="K202" si="541">RIGHT(J202,5)</f>
        <v>04:31</v>
      </c>
      <c r="L202" s="184" t="str">
        <f t="shared" ref="L202" si="542">H202</f>
        <v>№484</v>
      </c>
      <c r="M202" s="191">
        <f t="shared" ref="M202" si="543">(J202-F202)*24</f>
        <v>1.0833333333721384</v>
      </c>
      <c r="N202" s="61"/>
      <c r="P202" s="169" t="s">
        <v>114</v>
      </c>
      <c r="Q202" s="185">
        <f t="shared" ref="Q202" si="544">(F202-P202)*24</f>
        <v>3.7833333332673647</v>
      </c>
      <c r="R202" s="192">
        <f>Q202-1</f>
        <v>2.7833333332673647</v>
      </c>
    </row>
    <row r="203" spans="1:18" s="62" customFormat="1" ht="18" customHeight="1">
      <c r="A203" s="357">
        <v>2</v>
      </c>
      <c r="B203" s="190">
        <v>1631</v>
      </c>
      <c r="C203" s="355"/>
      <c r="D203" s="359"/>
      <c r="E203" s="356"/>
      <c r="F203" s="169" t="s">
        <v>387</v>
      </c>
      <c r="G203" s="193" t="str">
        <f t="shared" ref="G203" si="545">RIGHT(F203,5)</f>
        <v>23:14</v>
      </c>
      <c r="H203" s="243" t="s">
        <v>420</v>
      </c>
      <c r="I203" s="184" t="s">
        <v>15</v>
      </c>
      <c r="J203" s="169" t="s">
        <v>388</v>
      </c>
      <c r="K203" s="193" t="str">
        <f t="shared" ref="K203" si="546">RIGHT(J203,5)</f>
        <v>00:21</v>
      </c>
      <c r="L203" s="184" t="str">
        <f t="shared" ref="L203" si="547">H203</f>
        <v>№550</v>
      </c>
      <c r="M203" s="191">
        <f t="shared" ref="M203" si="548">(J203-F203)*24</f>
        <v>1.1166666666395031</v>
      </c>
      <c r="N203" s="61"/>
      <c r="P203" s="169" t="s">
        <v>375</v>
      </c>
      <c r="Q203" s="185">
        <f t="shared" ref="Q203" si="549">(F203-P203)*24</f>
        <v>2.2166666665580124</v>
      </c>
      <c r="R203" s="192">
        <f>Q203-1</f>
        <v>1.2166666665580124</v>
      </c>
    </row>
    <row r="204" spans="1:18" s="62" customFormat="1" ht="18" customHeight="1" thickBot="1">
      <c r="A204" s="451">
        <v>3</v>
      </c>
      <c r="B204" s="190">
        <v>1631</v>
      </c>
      <c r="C204" s="449"/>
      <c r="D204" s="463"/>
      <c r="E204" s="450"/>
      <c r="F204" s="169" t="s">
        <v>643</v>
      </c>
      <c r="G204" s="193" t="str">
        <f t="shared" ref="G204" si="550">RIGHT(F204,5)</f>
        <v>10:14</v>
      </c>
      <c r="H204" s="243" t="s">
        <v>709</v>
      </c>
      <c r="I204" s="184" t="s">
        <v>15</v>
      </c>
      <c r="J204" s="169" t="s">
        <v>648</v>
      </c>
      <c r="K204" s="193" t="str">
        <f t="shared" ref="K204" si="551">RIGHT(J204,5)</f>
        <v>11:16</v>
      </c>
      <c r="L204" s="184" t="str">
        <f t="shared" ref="L204" si="552">H204</f>
        <v>№620</v>
      </c>
      <c r="M204" s="191">
        <f t="shared" ref="M204" si="553">(J204-F204)*24</f>
        <v>1.03333333338378</v>
      </c>
      <c r="N204" s="61"/>
      <c r="P204" s="169" t="s">
        <v>647</v>
      </c>
      <c r="Q204" s="185">
        <f t="shared" ref="Q204" si="554">(F204-P204)*24</f>
        <v>4.6999999999534339</v>
      </c>
      <c r="R204" s="192">
        <f>Q204-1</f>
        <v>3.6999999999534339</v>
      </c>
    </row>
    <row r="205" spans="1:18" s="62" customFormat="1" ht="18" customHeight="1" thickBot="1">
      <c r="A205" s="123" t="s">
        <v>16</v>
      </c>
      <c r="B205" s="124"/>
      <c r="C205" s="166">
        <f>Пробеги!E98</f>
        <v>13019</v>
      </c>
      <c r="D205" s="167">
        <f>C205*2</f>
        <v>26038</v>
      </c>
      <c r="E205" s="168">
        <f>DAY(EOMONTH($S$427,0))*24-M205-R205</f>
        <v>733.06666666682577</v>
      </c>
      <c r="F205" s="109"/>
      <c r="G205" s="108"/>
      <c r="H205" s="107"/>
      <c r="I205" s="107"/>
      <c r="J205" s="107"/>
      <c r="K205" s="107"/>
      <c r="L205" s="107"/>
      <c r="M205" s="168">
        <f>SUM(M202:M204)</f>
        <v>3.2333333333954215</v>
      </c>
      <c r="N205" s="61"/>
      <c r="P205" s="171"/>
      <c r="Q205" s="170">
        <f>SUM(Q202:Q204)</f>
        <v>10.699999999778811</v>
      </c>
      <c r="R205" s="170">
        <f>SUM(R202:R204)</f>
        <v>7.6999999997788109</v>
      </c>
    </row>
    <row r="206" spans="1:18" s="62" customFormat="1" ht="18" customHeight="1">
      <c r="A206" s="189">
        <v>1</v>
      </c>
      <c r="B206" s="190">
        <v>1632</v>
      </c>
      <c r="C206" s="184"/>
      <c r="D206" s="200"/>
      <c r="E206" s="191"/>
      <c r="F206" s="169" t="s">
        <v>74</v>
      </c>
      <c r="G206" s="193" t="str">
        <f t="shared" ref="G206" si="555">RIGHT(F206,5)</f>
        <v>16:47</v>
      </c>
      <c r="H206" s="243" t="s">
        <v>103</v>
      </c>
      <c r="I206" s="184" t="s">
        <v>15</v>
      </c>
      <c r="J206" s="169" t="s">
        <v>75</v>
      </c>
      <c r="K206" s="193" t="str">
        <f t="shared" ref="K206" si="556">RIGHT(J206,5)</f>
        <v>18:14</v>
      </c>
      <c r="L206" s="184" t="str">
        <f t="shared" ref="L206" si="557">H206</f>
        <v>№470</v>
      </c>
      <c r="M206" s="191">
        <f t="shared" ref="M206" si="558">(J206-F206)*24</f>
        <v>1.4500000000116415</v>
      </c>
      <c r="N206" s="61"/>
      <c r="P206" s="169" t="s">
        <v>73</v>
      </c>
      <c r="Q206" s="185">
        <f t="shared" ref="Q206" si="559">(F206-P206)*24</f>
        <v>6.6500000000232831</v>
      </c>
      <c r="R206" s="192">
        <f>Q206-1</f>
        <v>5.6500000000232831</v>
      </c>
    </row>
    <row r="207" spans="1:18" s="62" customFormat="1" ht="18" customHeight="1">
      <c r="A207" s="296">
        <v>2</v>
      </c>
      <c r="B207" s="190">
        <v>1632</v>
      </c>
      <c r="C207" s="289"/>
      <c r="D207" s="297"/>
      <c r="E207" s="290"/>
      <c r="F207" s="169" t="s">
        <v>244</v>
      </c>
      <c r="G207" s="193" t="str">
        <f t="shared" ref="G207" si="560">RIGHT(F207,5)</f>
        <v>03:28</v>
      </c>
      <c r="H207" s="243" t="s">
        <v>403</v>
      </c>
      <c r="I207" s="184" t="s">
        <v>15</v>
      </c>
      <c r="J207" s="169" t="s">
        <v>243</v>
      </c>
      <c r="K207" s="193" t="str">
        <f t="shared" ref="K207" si="561">RIGHT(J207,5)</f>
        <v>04:49</v>
      </c>
      <c r="L207" s="184" t="str">
        <f t="shared" ref="L207" si="562">H207</f>
        <v>№532</v>
      </c>
      <c r="M207" s="191">
        <f t="shared" ref="M207" si="563">(J207-F207)*24</f>
        <v>1.3500000000349246</v>
      </c>
      <c r="N207" s="61"/>
      <c r="P207" s="169" t="s">
        <v>242</v>
      </c>
      <c r="Q207" s="185">
        <f t="shared" ref="Q207" si="564">(F207-P207)*24</f>
        <v>2.6166666666395031</v>
      </c>
      <c r="R207" s="192">
        <f>Q207-1</f>
        <v>1.6166666666395031</v>
      </c>
    </row>
    <row r="208" spans="1:18" s="62" customFormat="1" ht="18" customHeight="1">
      <c r="A208" s="451">
        <v>3</v>
      </c>
      <c r="B208" s="190">
        <v>1632</v>
      </c>
      <c r="C208" s="449"/>
      <c r="D208" s="463"/>
      <c r="E208" s="450"/>
      <c r="F208" s="169" t="s">
        <v>650</v>
      </c>
      <c r="G208" s="193" t="str">
        <f t="shared" ref="G208" si="565">RIGHT(F208,5)</f>
        <v>11:48</v>
      </c>
      <c r="H208" s="243" t="s">
        <v>727</v>
      </c>
      <c r="I208" s="184" t="s">
        <v>15</v>
      </c>
      <c r="J208" s="169" t="s">
        <v>651</v>
      </c>
      <c r="K208" s="193" t="str">
        <f t="shared" ref="K208" si="566">RIGHT(J208,5)</f>
        <v>12:55</v>
      </c>
      <c r="L208" s="184" t="str">
        <f t="shared" ref="L208" si="567">H208</f>
        <v>№591</v>
      </c>
      <c r="M208" s="191">
        <f t="shared" ref="M208" si="568">(J208-F208)*24</f>
        <v>1.1166666666395031</v>
      </c>
      <c r="N208" s="61"/>
      <c r="P208" s="169" t="s">
        <v>649</v>
      </c>
      <c r="Q208" s="185">
        <f t="shared" ref="Q208" si="569">(F208-P208)*24</f>
        <v>2.4166666666860692</v>
      </c>
      <c r="R208" s="192">
        <f>Q208-1</f>
        <v>1.4166666666860692</v>
      </c>
    </row>
    <row r="209" spans="1:18" s="62" customFormat="1" ht="18" customHeight="1" thickBot="1">
      <c r="A209" s="486">
        <v>4</v>
      </c>
      <c r="B209" s="190">
        <v>1632</v>
      </c>
      <c r="C209" s="490"/>
      <c r="D209" s="495"/>
      <c r="E209" s="489"/>
      <c r="F209" s="169" t="s">
        <v>902</v>
      </c>
      <c r="G209" s="193" t="str">
        <f t="shared" ref="G209" si="570">RIGHT(F209,5)</f>
        <v>06:45</v>
      </c>
      <c r="H209" s="243" t="s">
        <v>946</v>
      </c>
      <c r="I209" s="184" t="s">
        <v>15</v>
      </c>
      <c r="J209" s="169" t="s">
        <v>903</v>
      </c>
      <c r="K209" s="193" t="str">
        <f t="shared" ref="K209" si="571">RIGHT(J209,5)</f>
        <v>07:47</v>
      </c>
      <c r="L209" s="184" t="str">
        <f t="shared" ref="L209" si="572">H209</f>
        <v>№667</v>
      </c>
      <c r="M209" s="191">
        <f t="shared" ref="M209" si="573">(J209-F209)*24</f>
        <v>1.03333333338378</v>
      </c>
      <c r="N209" s="61"/>
      <c r="P209" s="169" t="s">
        <v>901</v>
      </c>
      <c r="Q209" s="185">
        <f t="shared" ref="Q209" si="574">(F209-P209)*24</f>
        <v>2.2666666667209938</v>
      </c>
      <c r="R209" s="192">
        <f>Q209-1</f>
        <v>1.2666666667209938</v>
      </c>
    </row>
    <row r="210" spans="1:18" s="62" customFormat="1" ht="18" customHeight="1" thickBot="1">
      <c r="A210" s="123" t="s">
        <v>16</v>
      </c>
      <c r="B210" s="124"/>
      <c r="C210" s="166">
        <f>Пробеги!E100</f>
        <v>15878</v>
      </c>
      <c r="D210" s="167">
        <f>C210*2</f>
        <v>31756</v>
      </c>
      <c r="E210" s="168">
        <f>DAY(EOMONTH($S$427,0))*24-M210-R210</f>
        <v>729.0999999998603</v>
      </c>
      <c r="F210" s="109"/>
      <c r="G210" s="108"/>
      <c r="H210" s="107"/>
      <c r="I210" s="107"/>
      <c r="J210" s="107"/>
      <c r="K210" s="107"/>
      <c r="L210" s="107"/>
      <c r="M210" s="168">
        <f>SUM(M206:M209)</f>
        <v>4.9500000000698492</v>
      </c>
      <c r="N210" s="61"/>
      <c r="P210" s="171"/>
      <c r="Q210" s="170">
        <f>SUM(Q206:Q209)</f>
        <v>13.950000000069849</v>
      </c>
      <c r="R210" s="170">
        <f>SUM(R206:R209)</f>
        <v>9.9500000000698492</v>
      </c>
    </row>
    <row r="211" spans="1:18" s="62" customFormat="1" ht="18" customHeight="1">
      <c r="A211" s="189">
        <v>1</v>
      </c>
      <c r="B211" s="190">
        <v>1633</v>
      </c>
      <c r="C211" s="184"/>
      <c r="D211" s="200"/>
      <c r="E211" s="191"/>
      <c r="F211" s="169" t="s">
        <v>149</v>
      </c>
      <c r="G211" s="193" t="str">
        <f t="shared" ref="G211" si="575">RIGHT(F211,5)</f>
        <v>15:00</v>
      </c>
      <c r="H211" s="243" t="s">
        <v>301</v>
      </c>
      <c r="I211" s="184" t="s">
        <v>15</v>
      </c>
      <c r="J211" s="169" t="s">
        <v>150</v>
      </c>
      <c r="K211" s="193" t="str">
        <f t="shared" ref="K211" si="576">RIGHT(J211,5)</f>
        <v>16:17</v>
      </c>
      <c r="L211" s="184" t="str">
        <f t="shared" ref="L211" si="577">H211</f>
        <v>№488</v>
      </c>
      <c r="M211" s="191">
        <f t="shared" ref="M211" si="578">(J211-F211)*24</f>
        <v>1.2833333333255723</v>
      </c>
      <c r="N211" s="61"/>
      <c r="P211" s="169" t="s">
        <v>148</v>
      </c>
      <c r="Q211" s="185">
        <f t="shared" ref="Q211" si="579">(F211-P211)*24</f>
        <v>6.2499999999417923</v>
      </c>
      <c r="R211" s="192">
        <f>Q211-1</f>
        <v>5.2499999999417923</v>
      </c>
    </row>
    <row r="212" spans="1:18" s="62" customFormat="1" ht="18" customHeight="1">
      <c r="A212" s="370">
        <v>2</v>
      </c>
      <c r="B212" s="190">
        <v>1633</v>
      </c>
      <c r="C212" s="366"/>
      <c r="D212" s="375"/>
      <c r="E212" s="367"/>
      <c r="F212" s="169" t="s">
        <v>455</v>
      </c>
      <c r="G212" s="193" t="str">
        <f t="shared" ref="G212" si="580">RIGHT(F212,5)</f>
        <v>08:24</v>
      </c>
      <c r="H212" s="243" t="s">
        <v>489</v>
      </c>
      <c r="I212" s="184" t="s">
        <v>15</v>
      </c>
      <c r="J212" s="169" t="s">
        <v>456</v>
      </c>
      <c r="K212" s="193" t="str">
        <f t="shared" ref="K212" si="581">RIGHT(J212,5)</f>
        <v>09:26</v>
      </c>
      <c r="L212" s="184" t="str">
        <f t="shared" ref="L212" si="582">H212</f>
        <v>№558</v>
      </c>
      <c r="M212" s="191">
        <f t="shared" ref="M212" si="583">(J212-F212)*24</f>
        <v>1.03333333338378</v>
      </c>
      <c r="N212" s="61"/>
      <c r="P212" s="169" t="s">
        <v>454</v>
      </c>
      <c r="Q212" s="185">
        <f t="shared" ref="Q212" si="584">(F212-P212)*24</f>
        <v>3.6166666665812954</v>
      </c>
      <c r="R212" s="192">
        <f>Q212-1</f>
        <v>2.6166666665812954</v>
      </c>
    </row>
    <row r="213" spans="1:18" s="62" customFormat="1" ht="18" customHeight="1" thickBot="1">
      <c r="A213" s="451">
        <v>3</v>
      </c>
      <c r="B213" s="190">
        <v>1633</v>
      </c>
      <c r="C213" s="449"/>
      <c r="D213" s="463"/>
      <c r="E213" s="450"/>
      <c r="F213" s="169" t="s">
        <v>653</v>
      </c>
      <c r="G213" s="193" t="str">
        <f t="shared" ref="G213" si="585">RIGHT(F213,5)</f>
        <v>16:44</v>
      </c>
      <c r="H213" s="243" t="s">
        <v>710</v>
      </c>
      <c r="I213" s="184" t="s">
        <v>15</v>
      </c>
      <c r="J213" s="169" t="s">
        <v>654</v>
      </c>
      <c r="K213" s="193" t="str">
        <f t="shared" ref="K213" si="586">RIGHT(J213,5)</f>
        <v>17:59</v>
      </c>
      <c r="L213" s="184" t="str">
        <f t="shared" ref="L213" si="587">H213</f>
        <v>№623</v>
      </c>
      <c r="M213" s="191">
        <f t="shared" ref="M213" si="588">(J213-F213)*24</f>
        <v>1.2499999998835847</v>
      </c>
      <c r="N213" s="61"/>
      <c r="P213" s="169" t="s">
        <v>652</v>
      </c>
      <c r="Q213" s="185">
        <f t="shared" ref="Q213" si="589">(F213-P213)*24</f>
        <v>2.4000000001396984</v>
      </c>
      <c r="R213" s="192">
        <f>Q213-1</f>
        <v>1.4000000001396984</v>
      </c>
    </row>
    <row r="214" spans="1:18" s="62" customFormat="1" ht="18" customHeight="1" thickBot="1">
      <c r="A214" s="123" t="s">
        <v>16</v>
      </c>
      <c r="B214" s="124"/>
      <c r="C214" s="166">
        <f>Пробеги!E102</f>
        <v>11666</v>
      </c>
      <c r="D214" s="167">
        <f>C214*2</f>
        <v>23332</v>
      </c>
      <c r="E214" s="168">
        <f>DAY(EOMONTH($S$427,0))*24-M214-R214</f>
        <v>731.16666666674428</v>
      </c>
      <c r="F214" s="109"/>
      <c r="G214" s="108"/>
      <c r="H214" s="107"/>
      <c r="I214" s="107"/>
      <c r="J214" s="124"/>
      <c r="K214" s="124"/>
      <c r="L214" s="107"/>
      <c r="M214" s="168">
        <f>SUM(M211:M213)</f>
        <v>3.566666666592937</v>
      </c>
      <c r="N214" s="61"/>
      <c r="P214" s="171"/>
      <c r="Q214" s="170">
        <f>SUM(Q211:Q213)</f>
        <v>12.266666666662786</v>
      </c>
      <c r="R214" s="170">
        <f>SUM(R211:R213)</f>
        <v>9.2666666666627862</v>
      </c>
    </row>
    <row r="215" spans="1:18" s="62" customFormat="1" ht="18" customHeight="1">
      <c r="A215" s="194">
        <v>1</v>
      </c>
      <c r="B215" s="190">
        <v>1634</v>
      </c>
      <c r="C215" s="205"/>
      <c r="D215" s="206"/>
      <c r="E215" s="207"/>
      <c r="F215" s="169" t="s">
        <v>77</v>
      </c>
      <c r="G215" s="193" t="str">
        <f t="shared" ref="G215:G217" si="590">RIGHT(F215,5)</f>
        <v>23:36</v>
      </c>
      <c r="H215" s="243" t="s">
        <v>319</v>
      </c>
      <c r="I215" s="184" t="s">
        <v>15</v>
      </c>
      <c r="J215" s="169" t="s">
        <v>78</v>
      </c>
      <c r="K215" s="193" t="str">
        <f t="shared" ref="K215:K217" si="591">RIGHT(J215,5)</f>
        <v>00:37</v>
      </c>
      <c r="L215" s="184" t="str">
        <f t="shared" ref="L215" si="592">H215</f>
        <v>№463</v>
      </c>
      <c r="M215" s="191">
        <f t="shared" ref="M215:M217" si="593">(J215-F215)*24</f>
        <v>1.0166666666627862</v>
      </c>
      <c r="N215" s="61"/>
      <c r="P215" s="169" t="s">
        <v>76</v>
      </c>
      <c r="Q215" s="185">
        <f t="shared" ref="Q215" si="594">(F215-P215)*24</f>
        <v>1.7166666664998047</v>
      </c>
      <c r="R215" s="192">
        <f>Q215-1</f>
        <v>0.71666666649980471</v>
      </c>
    </row>
    <row r="216" spans="1:18" s="62" customFormat="1" ht="18" customHeight="1">
      <c r="A216" s="296">
        <v>2</v>
      </c>
      <c r="B216" s="190">
        <v>1634</v>
      </c>
      <c r="C216" s="289"/>
      <c r="D216" s="297"/>
      <c r="E216" s="290"/>
      <c r="F216" s="169" t="s">
        <v>246</v>
      </c>
      <c r="G216" s="193" t="str">
        <f t="shared" si="590"/>
        <v>09:46</v>
      </c>
      <c r="H216" s="243" t="s">
        <v>316</v>
      </c>
      <c r="I216" s="184" t="s">
        <v>138</v>
      </c>
      <c r="J216" s="169" t="s">
        <v>247</v>
      </c>
      <c r="K216" s="193" t="str">
        <f t="shared" si="591"/>
        <v>19:34</v>
      </c>
      <c r="L216" s="184" t="str">
        <f>H216</f>
        <v>№29</v>
      </c>
      <c r="M216" s="191">
        <f t="shared" si="593"/>
        <v>33.799999999988358</v>
      </c>
      <c r="N216" s="61"/>
      <c r="P216" s="169" t="s">
        <v>245</v>
      </c>
      <c r="Q216" s="185">
        <v>11.800000000046566</v>
      </c>
      <c r="R216" s="192">
        <f>Q216-Q216</f>
        <v>0</v>
      </c>
    </row>
    <row r="217" spans="1:18" s="62" customFormat="1" ht="18" customHeight="1">
      <c r="A217" s="451">
        <v>3</v>
      </c>
      <c r="B217" s="190">
        <v>1634</v>
      </c>
      <c r="C217" s="449"/>
      <c r="D217" s="463"/>
      <c r="E217" s="450"/>
      <c r="F217" s="169" t="s">
        <v>656</v>
      </c>
      <c r="G217" s="193" t="str">
        <f t="shared" si="590"/>
        <v>13:07</v>
      </c>
      <c r="H217" s="243" t="s">
        <v>711</v>
      </c>
      <c r="I217" s="184" t="s">
        <v>15</v>
      </c>
      <c r="J217" s="169" t="s">
        <v>657</v>
      </c>
      <c r="K217" s="193" t="str">
        <f t="shared" si="591"/>
        <v>14:09</v>
      </c>
      <c r="L217" s="184" t="str">
        <f t="shared" ref="L217" si="595">H217</f>
        <v>№592</v>
      </c>
      <c r="M217" s="191">
        <f t="shared" si="593"/>
        <v>1.03333333338378</v>
      </c>
      <c r="N217" s="61"/>
      <c r="P217" s="169" t="s">
        <v>655</v>
      </c>
      <c r="Q217" s="185">
        <f t="shared" ref="Q217" si="596">(F217-P217)*24</f>
        <v>3.7166666665580124</v>
      </c>
      <c r="R217" s="192">
        <f>Q217-1</f>
        <v>2.7166666665580124</v>
      </c>
    </row>
    <row r="218" spans="1:18" s="62" customFormat="1" ht="18" customHeight="1" thickBot="1">
      <c r="A218" s="486">
        <v>4</v>
      </c>
      <c r="B218" s="190">
        <v>1634</v>
      </c>
      <c r="C218" s="490"/>
      <c r="D218" s="495"/>
      <c r="E218" s="489"/>
      <c r="F218" s="169" t="s">
        <v>905</v>
      </c>
      <c r="G218" s="193" t="str">
        <f t="shared" ref="G218" si="597">RIGHT(F218,5)</f>
        <v>08:52</v>
      </c>
      <c r="H218" s="243" t="s">
        <v>947</v>
      </c>
      <c r="I218" s="184" t="s">
        <v>15</v>
      </c>
      <c r="J218" s="169" t="s">
        <v>906</v>
      </c>
      <c r="K218" s="193" t="str">
        <f t="shared" ref="K218" si="598">RIGHT(J218,5)</f>
        <v>10:09</v>
      </c>
      <c r="L218" s="184" t="str">
        <f t="shared" ref="L218" si="599">H218</f>
        <v>№668</v>
      </c>
      <c r="M218" s="191">
        <f t="shared" ref="M218" si="600">(J218-F218)*24</f>
        <v>1.2833333335001953</v>
      </c>
      <c r="N218" s="61"/>
      <c r="P218" s="169" t="s">
        <v>904</v>
      </c>
      <c r="Q218" s="185">
        <f t="shared" ref="Q218" si="601">(F218-P218)*24</f>
        <v>0.21666666649980471</v>
      </c>
      <c r="R218" s="192">
        <f>Q218-Q218</f>
        <v>0</v>
      </c>
    </row>
    <row r="219" spans="1:18" s="62" customFormat="1" ht="18" customHeight="1" thickBot="1">
      <c r="A219" s="123" t="s">
        <v>16</v>
      </c>
      <c r="B219" s="124"/>
      <c r="C219" s="166">
        <f>Пробеги!E104</f>
        <v>14132</v>
      </c>
      <c r="D219" s="167">
        <f>C219*2</f>
        <v>28264</v>
      </c>
      <c r="E219" s="168">
        <f>DAY(EOMONTH($S$427,0))*24-M219-R219</f>
        <v>703.43333333340706</v>
      </c>
      <c r="F219" s="109"/>
      <c r="G219" s="108"/>
      <c r="H219" s="107"/>
      <c r="I219" s="107"/>
      <c r="J219" s="107"/>
      <c r="K219" s="107"/>
      <c r="L219" s="107"/>
      <c r="M219" s="168">
        <f>SUM(M215:M218)</f>
        <v>37.13333333353512</v>
      </c>
      <c r="N219" s="61"/>
      <c r="P219" s="171"/>
      <c r="Q219" s="170">
        <f>SUM(Q215:Q218)</f>
        <v>17.449999999604188</v>
      </c>
      <c r="R219" s="170">
        <f>SUM(R215:R218)</f>
        <v>3.4333333330578171</v>
      </c>
    </row>
    <row r="220" spans="1:18" s="62" customFormat="1" ht="18" customHeight="1">
      <c r="A220" s="189">
        <v>1</v>
      </c>
      <c r="B220" s="190">
        <v>1635</v>
      </c>
      <c r="C220" s="184"/>
      <c r="D220" s="200"/>
      <c r="E220" s="191"/>
      <c r="F220" s="169" t="s">
        <v>249</v>
      </c>
      <c r="G220" s="193" t="str">
        <f t="shared" ref="G220:G221" si="602">RIGHT(F220,5)</f>
        <v>00:50</v>
      </c>
      <c r="H220" s="243" t="s">
        <v>302</v>
      </c>
      <c r="I220" s="184" t="s">
        <v>15</v>
      </c>
      <c r="J220" s="169" t="s">
        <v>250</v>
      </c>
      <c r="K220" s="193" t="str">
        <f t="shared" ref="K220:K221" si="603">RIGHT(J220,5)</f>
        <v>01:57</v>
      </c>
      <c r="L220" s="184" t="str">
        <f t="shared" ref="L220:L221" si="604">H220</f>
        <v>№526</v>
      </c>
      <c r="M220" s="191">
        <f t="shared" ref="M220:M221" si="605">(J220-F220)*24</f>
        <v>1.1166666668141261</v>
      </c>
      <c r="N220" s="61"/>
      <c r="P220" s="169" t="s">
        <v>248</v>
      </c>
      <c r="Q220" s="185">
        <f t="shared" ref="Q220:Q221" si="606">(F220-P220)*24</f>
        <v>1.5833333332557231</v>
      </c>
      <c r="R220" s="192">
        <f>Q220-1</f>
        <v>0.58333333325572312</v>
      </c>
    </row>
    <row r="221" spans="1:18" s="62" customFormat="1" ht="18" customHeight="1">
      <c r="A221" s="349">
        <v>2</v>
      </c>
      <c r="B221" s="190">
        <v>1635</v>
      </c>
      <c r="C221" s="347"/>
      <c r="D221" s="351"/>
      <c r="E221" s="348"/>
      <c r="F221" s="169" t="s">
        <v>358</v>
      </c>
      <c r="G221" s="193" t="str">
        <f t="shared" si="602"/>
        <v>17:30</v>
      </c>
      <c r="H221" s="243" t="s">
        <v>496</v>
      </c>
      <c r="I221" s="184" t="s">
        <v>51</v>
      </c>
      <c r="J221" s="169" t="s">
        <v>359</v>
      </c>
      <c r="K221" s="193" t="str">
        <f t="shared" si="603"/>
        <v>18:42</v>
      </c>
      <c r="L221" s="184" t="str">
        <f t="shared" si="604"/>
        <v>№225</v>
      </c>
      <c r="M221" s="191">
        <f t="shared" si="605"/>
        <v>1.2000000000698492</v>
      </c>
      <c r="N221" s="61"/>
      <c r="P221" s="169" t="s">
        <v>357</v>
      </c>
      <c r="Q221" s="185">
        <f t="shared" si="606"/>
        <v>27.266666666662786</v>
      </c>
      <c r="R221" s="384">
        <v>0</v>
      </c>
    </row>
    <row r="222" spans="1:18" s="62" customFormat="1" ht="18" customHeight="1">
      <c r="A222" s="451">
        <v>3</v>
      </c>
      <c r="B222" s="190">
        <v>1635</v>
      </c>
      <c r="C222" s="449"/>
      <c r="D222" s="463"/>
      <c r="E222" s="450"/>
      <c r="F222" s="169" t="s">
        <v>659</v>
      </c>
      <c r="G222" s="193" t="str">
        <f t="shared" ref="G222" si="607">RIGHT(F222,5)</f>
        <v>09:55</v>
      </c>
      <c r="H222" s="243" t="s">
        <v>728</v>
      </c>
      <c r="I222" s="184" t="s">
        <v>15</v>
      </c>
      <c r="J222" s="169" t="s">
        <v>660</v>
      </c>
      <c r="K222" s="193" t="str">
        <f t="shared" ref="K222" si="608">RIGHT(J222,5)</f>
        <v>11:04</v>
      </c>
      <c r="L222" s="184" t="str">
        <f t="shared" ref="L222" si="609">H222</f>
        <v>№590</v>
      </c>
      <c r="M222" s="191">
        <f t="shared" ref="M222" si="610">(J222-F222)*24</f>
        <v>1.1499999999068677</v>
      </c>
      <c r="N222" s="61"/>
      <c r="P222" s="169" t="s">
        <v>658</v>
      </c>
      <c r="Q222" s="185">
        <f t="shared" ref="Q222" si="611">(F222-P222)*24</f>
        <v>3.4000000000814907</v>
      </c>
      <c r="R222" s="192">
        <f>Q222-1</f>
        <v>2.4000000000814907</v>
      </c>
    </row>
    <row r="223" spans="1:18" s="62" customFormat="1" ht="18" customHeight="1" thickBot="1">
      <c r="A223" s="486">
        <v>4</v>
      </c>
      <c r="B223" s="190">
        <v>1635</v>
      </c>
      <c r="C223" s="490"/>
      <c r="D223" s="495"/>
      <c r="E223" s="489"/>
      <c r="F223" s="169" t="s">
        <v>908</v>
      </c>
      <c r="G223" s="193" t="str">
        <f t="shared" ref="G223" si="612">RIGHT(F223,5)</f>
        <v>10:43</v>
      </c>
      <c r="H223" s="243" t="s">
        <v>948</v>
      </c>
      <c r="I223" s="184" t="s">
        <v>15</v>
      </c>
      <c r="J223" s="169" t="s">
        <v>909</v>
      </c>
      <c r="K223" s="193" t="str">
        <f t="shared" ref="K223" si="613">RIGHT(J223,5)</f>
        <v>12:04</v>
      </c>
      <c r="L223" s="184" t="str">
        <f t="shared" ref="L223" si="614">H223</f>
        <v>№669</v>
      </c>
      <c r="M223" s="191">
        <f t="shared" ref="M223" si="615">(J223-F223)*24</f>
        <v>1.3500000000349246</v>
      </c>
      <c r="N223" s="61"/>
      <c r="P223" s="169" t="s">
        <v>907</v>
      </c>
      <c r="Q223" s="185">
        <f t="shared" ref="Q223" si="616">(F223-P223)*24</f>
        <v>3.7999999999883585</v>
      </c>
      <c r="R223" s="192">
        <f>Q223-1</f>
        <v>2.7999999999883585</v>
      </c>
    </row>
    <row r="224" spans="1:18" s="62" customFormat="1" ht="18" customHeight="1" thickBot="1">
      <c r="A224" s="308" t="s">
        <v>16</v>
      </c>
      <c r="B224" s="309"/>
      <c r="C224" s="310">
        <f>Пробеги!E106</f>
        <v>13614</v>
      </c>
      <c r="D224" s="167">
        <f>C224*2</f>
        <v>27228</v>
      </c>
      <c r="E224" s="311">
        <f>DAY(EOMONTH($S$427,0))*24-M224-R224</f>
        <v>733.39999999984866</v>
      </c>
      <c r="F224" s="132"/>
      <c r="G224" s="130"/>
      <c r="H224" s="131"/>
      <c r="I224" s="131"/>
      <c r="J224" s="131"/>
      <c r="K224" s="131"/>
      <c r="L224" s="131"/>
      <c r="M224" s="311">
        <f>SUM(M220:M223)</f>
        <v>4.8166666668257676</v>
      </c>
      <c r="N224" s="61"/>
      <c r="P224" s="171"/>
      <c r="Q224" s="170">
        <f>SUM(Q220:Q223)</f>
        <v>36.049999999988358</v>
      </c>
      <c r="R224" s="170">
        <f>SUM(R220:R223)</f>
        <v>5.7833333333255723</v>
      </c>
    </row>
    <row r="225" spans="1:18" s="62" customFormat="1" ht="18" customHeight="1">
      <c r="A225" s="87"/>
      <c r="B225" s="84"/>
      <c r="C225" s="84"/>
      <c r="D225" s="88"/>
      <c r="E225" s="89"/>
      <c r="F225" s="83"/>
      <c r="G225" s="85"/>
      <c r="H225" s="84"/>
      <c r="I225" s="84"/>
      <c r="J225" s="84"/>
      <c r="K225" s="84"/>
      <c r="L225" s="84"/>
      <c r="M225" s="89"/>
      <c r="N225" s="61"/>
      <c r="P225" s="90"/>
      <c r="Q225" s="91"/>
      <c r="R225" s="91"/>
    </row>
    <row r="226" spans="1:18" s="62" customFormat="1" ht="18" customHeight="1">
      <c r="A226" s="87"/>
      <c r="B226" s="84"/>
      <c r="C226" s="84"/>
      <c r="D226" s="88"/>
      <c r="E226" s="89"/>
      <c r="F226" s="83"/>
      <c r="G226" s="85"/>
      <c r="H226" s="84"/>
      <c r="I226" s="84"/>
      <c r="J226" s="84"/>
      <c r="K226" s="84"/>
      <c r="L226" s="580" t="s">
        <v>1207</v>
      </c>
      <c r="M226" s="580"/>
      <c r="N226" s="61"/>
      <c r="P226" s="90"/>
      <c r="Q226" s="91"/>
      <c r="R226" s="91"/>
    </row>
    <row r="227" spans="1:18" s="62" customFormat="1" ht="18" customHeight="1">
      <c r="A227" s="194">
        <v>1</v>
      </c>
      <c r="B227" s="279">
        <v>1636</v>
      </c>
      <c r="C227" s="205"/>
      <c r="D227" s="206"/>
      <c r="E227" s="207"/>
      <c r="F227" s="169" t="s">
        <v>179</v>
      </c>
      <c r="G227" s="193" t="str">
        <f t="shared" ref="G227:G229" si="617">RIGHT(F227,5)</f>
        <v>18:35</v>
      </c>
      <c r="H227" s="243" t="s">
        <v>303</v>
      </c>
      <c r="I227" s="184" t="s">
        <v>15</v>
      </c>
      <c r="J227" s="169" t="s">
        <v>180</v>
      </c>
      <c r="K227" s="193" t="str">
        <f t="shared" ref="K227:K229" si="618">RIGHT(J227,5)</f>
        <v>19:47</v>
      </c>
      <c r="L227" s="184" t="str">
        <f t="shared" ref="L227:L229" si="619">H227</f>
        <v>№499</v>
      </c>
      <c r="M227" s="191">
        <f t="shared" ref="M227:M229" si="620">(J227-F227)*24</f>
        <v>1.2000000000698492</v>
      </c>
      <c r="N227" s="61"/>
      <c r="P227" s="169" t="s">
        <v>178</v>
      </c>
      <c r="Q227" s="185">
        <f t="shared" ref="Q227" si="621">(F227-P227)*24</f>
        <v>0.75</v>
      </c>
      <c r="R227" s="192">
        <f>Q227-Q227</f>
        <v>0</v>
      </c>
    </row>
    <row r="228" spans="1:18" s="62" customFormat="1" ht="18" customHeight="1">
      <c r="A228" s="296">
        <v>2</v>
      </c>
      <c r="B228" s="279">
        <v>1636</v>
      </c>
      <c r="C228" s="289"/>
      <c r="D228" s="297"/>
      <c r="E228" s="290"/>
      <c r="F228" s="169" t="s">
        <v>332</v>
      </c>
      <c r="G228" s="193" t="str">
        <f t="shared" si="617"/>
        <v>10:06</v>
      </c>
      <c r="H228" s="243" t="s">
        <v>317</v>
      </c>
      <c r="I228" s="184" t="s">
        <v>138</v>
      </c>
      <c r="J228" s="169" t="s">
        <v>360</v>
      </c>
      <c r="K228" s="193" t="str">
        <f t="shared" si="618"/>
        <v>17:00</v>
      </c>
      <c r="L228" s="184" t="str">
        <f t="shared" si="619"/>
        <v>№30</v>
      </c>
      <c r="M228" s="191">
        <f t="shared" si="620"/>
        <v>30.900000000139698</v>
      </c>
      <c r="N228" s="61"/>
      <c r="P228" s="169" t="s">
        <v>318</v>
      </c>
      <c r="Q228" s="185">
        <v>11.800000000046566</v>
      </c>
      <c r="R228" s="192">
        <f>Q228-Q228</f>
        <v>0</v>
      </c>
    </row>
    <row r="229" spans="1:18" s="62" customFormat="1" ht="18" customHeight="1">
      <c r="A229" s="349">
        <v>3</v>
      </c>
      <c r="B229" s="279">
        <v>1636</v>
      </c>
      <c r="C229" s="347"/>
      <c r="D229" s="351"/>
      <c r="E229" s="348"/>
      <c r="F229" s="169" t="s">
        <v>389</v>
      </c>
      <c r="G229" s="193" t="str">
        <f t="shared" si="617"/>
        <v>09:05</v>
      </c>
      <c r="H229" s="243" t="s">
        <v>497</v>
      </c>
      <c r="I229" s="184" t="s">
        <v>51</v>
      </c>
      <c r="J229" s="169" t="s">
        <v>390</v>
      </c>
      <c r="K229" s="193" t="str">
        <f t="shared" si="618"/>
        <v>09:38</v>
      </c>
      <c r="L229" s="184" t="str">
        <f t="shared" si="619"/>
        <v>№229</v>
      </c>
      <c r="M229" s="191">
        <f t="shared" si="620"/>
        <v>0.55000000004656613</v>
      </c>
      <c r="N229" s="61"/>
      <c r="P229" s="169" t="s">
        <v>361</v>
      </c>
      <c r="Q229" s="185">
        <f t="shared" ref="Q229:Q230" si="622">(F229-P229)*24</f>
        <v>7.783333333209157</v>
      </c>
      <c r="R229" s="192">
        <f>Q229</f>
        <v>7.783333333209157</v>
      </c>
    </row>
    <row r="230" spans="1:18" s="62" customFormat="1" ht="18" customHeight="1">
      <c r="A230" s="451">
        <v>4</v>
      </c>
      <c r="B230" s="279">
        <v>1636</v>
      </c>
      <c r="C230" s="449"/>
      <c r="D230" s="463"/>
      <c r="E230" s="450"/>
      <c r="F230" s="169" t="s">
        <v>662</v>
      </c>
      <c r="G230" s="193" t="str">
        <f t="shared" ref="G230" si="623">RIGHT(F230,5)</f>
        <v>12:17</v>
      </c>
      <c r="H230" s="243" t="s">
        <v>729</v>
      </c>
      <c r="I230" s="184" t="s">
        <v>15</v>
      </c>
      <c r="J230" s="169" t="s">
        <v>663</v>
      </c>
      <c r="K230" s="193" t="str">
        <f t="shared" ref="K230" si="624">RIGHT(J230,5)</f>
        <v>13:28</v>
      </c>
      <c r="L230" s="184" t="str">
        <f t="shared" ref="L230" si="625">H230</f>
        <v>№600</v>
      </c>
      <c r="M230" s="191">
        <f t="shared" ref="M230" si="626">(J230-F230)*24</f>
        <v>1.1833333333488554</v>
      </c>
      <c r="N230" s="61"/>
      <c r="P230" s="169" t="s">
        <v>661</v>
      </c>
      <c r="Q230" s="185">
        <f t="shared" si="622"/>
        <v>4.5999999999767169</v>
      </c>
      <c r="R230" s="192">
        <f>Q230-1</f>
        <v>3.5999999999767169</v>
      </c>
    </row>
    <row r="231" spans="1:18" s="62" customFormat="1" ht="18" customHeight="1" thickBot="1">
      <c r="A231" s="500">
        <v>5</v>
      </c>
      <c r="B231" s="279">
        <v>1636</v>
      </c>
      <c r="C231" s="498"/>
      <c r="D231" s="501"/>
      <c r="E231" s="499"/>
      <c r="F231" s="169" t="s">
        <v>995</v>
      </c>
      <c r="G231" s="193" t="str">
        <f t="shared" ref="G231" si="627">RIGHT(F231,5)</f>
        <v>08:31</v>
      </c>
      <c r="H231" s="243" t="s">
        <v>1009</v>
      </c>
      <c r="I231" s="184" t="s">
        <v>15</v>
      </c>
      <c r="J231" s="169" t="s">
        <v>996</v>
      </c>
      <c r="K231" s="193" t="str">
        <f t="shared" ref="K231" si="628">RIGHT(J231,5)</f>
        <v>09:38</v>
      </c>
      <c r="L231" s="184" t="str">
        <f t="shared" ref="L231" si="629">H231</f>
        <v>№683</v>
      </c>
      <c r="M231" s="191">
        <f t="shared" ref="M231" si="630">(J231-F231)*24</f>
        <v>1.1166666666395031</v>
      </c>
      <c r="N231" s="61"/>
      <c r="P231" s="169" t="s">
        <v>972</v>
      </c>
      <c r="Q231" s="185">
        <f t="shared" ref="Q231" si="631">(F231-P231)*24</f>
        <v>6.3333333333721384</v>
      </c>
      <c r="R231" s="192">
        <f>Q231-1</f>
        <v>5.3333333333721384</v>
      </c>
    </row>
    <row r="232" spans="1:18" s="62" customFormat="1" ht="18" customHeight="1" thickBot="1">
      <c r="A232" s="280" t="s">
        <v>16</v>
      </c>
      <c r="B232" s="281"/>
      <c r="C232" s="282">
        <f>Пробеги!E108</f>
        <v>12877</v>
      </c>
      <c r="D232" s="167">
        <f>C232*2</f>
        <v>25754</v>
      </c>
      <c r="E232" s="283">
        <f>DAY(EOMONTH($S$427,0))*24-M232-R232</f>
        <v>692.33333333319752</v>
      </c>
      <c r="F232" s="127"/>
      <c r="G232" s="128"/>
      <c r="H232" s="129"/>
      <c r="I232" s="129"/>
      <c r="J232" s="129"/>
      <c r="K232" s="129"/>
      <c r="L232" s="129"/>
      <c r="M232" s="283">
        <f>SUM(M227:M231)</f>
        <v>34.950000000244472</v>
      </c>
      <c r="N232" s="61"/>
      <c r="P232" s="241"/>
      <c r="Q232" s="242">
        <f>SUM(Q227:Q231)</f>
        <v>31.266666666604578</v>
      </c>
      <c r="R232" s="242">
        <f>SUM(R227:R231)</f>
        <v>16.716666666558012</v>
      </c>
    </row>
    <row r="233" spans="1:18" s="62" customFormat="1" ht="18" customHeight="1">
      <c r="A233" s="339">
        <v>1</v>
      </c>
      <c r="B233" s="340">
        <v>1637</v>
      </c>
      <c r="C233" s="341"/>
      <c r="D233" s="342"/>
      <c r="E233" s="343"/>
      <c r="F233" s="169" t="s">
        <v>334</v>
      </c>
      <c r="G233" s="193" t="str">
        <f t="shared" ref="G233" si="632">RIGHT(F233,5)</f>
        <v>08:43</v>
      </c>
      <c r="H233" s="243" t="s">
        <v>404</v>
      </c>
      <c r="I233" s="184" t="s">
        <v>15</v>
      </c>
      <c r="J233" s="169" t="s">
        <v>335</v>
      </c>
      <c r="K233" s="193" t="str">
        <f t="shared" ref="K233" si="633">RIGHT(J233,5)</f>
        <v>09:43</v>
      </c>
      <c r="L233" s="184" t="str">
        <f t="shared" ref="L233" si="634">H233</f>
        <v>№535</v>
      </c>
      <c r="M233" s="191">
        <f t="shared" ref="M233" si="635">(J233-F233)*24</f>
        <v>1.0000000001164153</v>
      </c>
      <c r="N233" s="61"/>
      <c r="P233" s="169" t="s">
        <v>333</v>
      </c>
      <c r="Q233" s="185">
        <f t="shared" ref="Q233" si="636">(F233-P233)*24</f>
        <v>0.43333333334885538</v>
      </c>
      <c r="R233" s="192">
        <f>Q233-Q233</f>
        <v>0</v>
      </c>
    </row>
    <row r="234" spans="1:18" s="62" customFormat="1" ht="18" customHeight="1">
      <c r="A234" s="451">
        <v>2</v>
      </c>
      <c r="B234" s="340">
        <v>1637</v>
      </c>
      <c r="C234" s="449"/>
      <c r="D234" s="463"/>
      <c r="E234" s="450"/>
      <c r="F234" s="169" t="s">
        <v>665</v>
      </c>
      <c r="G234" s="193" t="str">
        <f t="shared" ref="G234" si="637">RIGHT(F234,5)</f>
        <v>04:49</v>
      </c>
      <c r="H234" s="243" t="s">
        <v>730</v>
      </c>
      <c r="I234" s="184" t="s">
        <v>15</v>
      </c>
      <c r="J234" s="169" t="s">
        <v>666</v>
      </c>
      <c r="K234" s="193" t="str">
        <f t="shared" ref="K234" si="638">RIGHT(J234,5)</f>
        <v>05:58</v>
      </c>
      <c r="L234" s="184" t="str">
        <f t="shared" ref="L234" si="639">H234</f>
        <v>№604</v>
      </c>
      <c r="M234" s="191">
        <f t="shared" ref="M234" si="640">(J234-F234)*24</f>
        <v>1.1500000000814907</v>
      </c>
      <c r="N234" s="61"/>
      <c r="P234" s="169" t="s">
        <v>664</v>
      </c>
      <c r="Q234" s="185">
        <f t="shared" ref="Q234" si="641">(F234-P234)*24</f>
        <v>5.816666666592937</v>
      </c>
      <c r="R234" s="192">
        <f>Q234-1</f>
        <v>4.816666666592937</v>
      </c>
    </row>
    <row r="235" spans="1:18" s="62" customFormat="1" ht="18" customHeight="1" thickBot="1">
      <c r="A235" s="500">
        <v>3</v>
      </c>
      <c r="B235" s="340">
        <v>1637</v>
      </c>
      <c r="C235" s="498"/>
      <c r="D235" s="501"/>
      <c r="E235" s="499"/>
      <c r="F235" s="169" t="s">
        <v>974</v>
      </c>
      <c r="G235" s="193" t="str">
        <f t="shared" ref="G235" si="642">RIGHT(F235,5)</f>
        <v>16:37</v>
      </c>
      <c r="H235" s="243" t="s">
        <v>984</v>
      </c>
      <c r="I235" s="184" t="s">
        <v>15</v>
      </c>
      <c r="J235" s="169" t="s">
        <v>975</v>
      </c>
      <c r="K235" s="193" t="str">
        <f t="shared" ref="K235" si="643">RIGHT(J235,5)</f>
        <v>17:43</v>
      </c>
      <c r="L235" s="184" t="str">
        <f t="shared" ref="L235" si="644">H235</f>
        <v>№679</v>
      </c>
      <c r="M235" s="191">
        <f t="shared" ref="M235" si="645">(J235-F235)*24</f>
        <v>1.0999999999185093</v>
      </c>
      <c r="N235" s="61"/>
      <c r="P235" s="169" t="s">
        <v>973</v>
      </c>
      <c r="Q235" s="185">
        <f t="shared" ref="Q235" si="646">(F235-P235)*24</f>
        <v>1.6999999999534339</v>
      </c>
      <c r="R235" s="192">
        <f>Q235-1</f>
        <v>0.69999999995343387</v>
      </c>
    </row>
    <row r="236" spans="1:18" s="62" customFormat="1" ht="18" customHeight="1" thickBot="1">
      <c r="A236" s="123" t="s">
        <v>16</v>
      </c>
      <c r="B236" s="124"/>
      <c r="C236" s="166">
        <f>Пробеги!E110</f>
        <v>13507</v>
      </c>
      <c r="D236" s="167">
        <f>C236*2</f>
        <v>27014</v>
      </c>
      <c r="E236" s="168">
        <f>DAY(EOMONTH($S$427,0))*24-M236-R236</f>
        <v>735.23333333333721</v>
      </c>
      <c r="F236" s="109"/>
      <c r="G236" s="108"/>
      <c r="H236" s="107"/>
      <c r="I236" s="107"/>
      <c r="J236" s="107"/>
      <c r="K236" s="107"/>
      <c r="L236" s="107"/>
      <c r="M236" s="168">
        <f>SUM(M233:M235)</f>
        <v>3.2500000001164153</v>
      </c>
      <c r="N236" s="61"/>
      <c r="P236" s="171"/>
      <c r="Q236" s="170">
        <f>SUM(Q233:Q235)</f>
        <v>7.9499999998952262</v>
      </c>
      <c r="R236" s="170">
        <f>SUM(R233:R235)</f>
        <v>5.5166666665463708</v>
      </c>
    </row>
    <row r="237" spans="1:18" s="62" customFormat="1" ht="18" customHeight="1">
      <c r="A237" s="189">
        <v>1</v>
      </c>
      <c r="B237" s="190">
        <v>1638</v>
      </c>
      <c r="C237" s="184"/>
      <c r="D237" s="200"/>
      <c r="E237" s="191"/>
      <c r="F237" s="169" t="s">
        <v>252</v>
      </c>
      <c r="G237" s="193" t="str">
        <f t="shared" ref="G237" si="647">RIGHT(F237,5)</f>
        <v>05:50</v>
      </c>
      <c r="H237" s="243" t="s">
        <v>304</v>
      </c>
      <c r="I237" s="184" t="s">
        <v>15</v>
      </c>
      <c r="J237" s="169" t="s">
        <v>253</v>
      </c>
      <c r="K237" s="193" t="str">
        <f t="shared" ref="K237" si="648">RIGHT(J237,5)</f>
        <v>07:15</v>
      </c>
      <c r="L237" s="184" t="str">
        <f t="shared" ref="L237" si="649">H237</f>
        <v>№513</v>
      </c>
      <c r="M237" s="191">
        <f t="shared" ref="M237" si="650">(J237-F237)*24</f>
        <v>1.4166666667442769</v>
      </c>
      <c r="N237" s="61"/>
      <c r="P237" s="169" t="s">
        <v>251</v>
      </c>
      <c r="Q237" s="185">
        <f t="shared" ref="Q237" si="651">(F237-P237)*24</f>
        <v>0.5166666666045785</v>
      </c>
      <c r="R237" s="192">
        <f>Q237-Q237</f>
        <v>0</v>
      </c>
    </row>
    <row r="238" spans="1:18" s="62" customFormat="1" ht="18" customHeight="1">
      <c r="A238" s="428">
        <v>2</v>
      </c>
      <c r="B238" s="190">
        <v>1638</v>
      </c>
      <c r="C238" s="421"/>
      <c r="D238" s="429"/>
      <c r="E238" s="422"/>
      <c r="F238" s="169" t="s">
        <v>532</v>
      </c>
      <c r="G238" s="193" t="str">
        <f t="shared" ref="G238" si="652">RIGHT(F238,5)</f>
        <v>12:06</v>
      </c>
      <c r="H238" s="243" t="s">
        <v>563</v>
      </c>
      <c r="I238" s="184" t="s">
        <v>15</v>
      </c>
      <c r="J238" s="169" t="s">
        <v>533</v>
      </c>
      <c r="K238" s="193" t="str">
        <f t="shared" ref="K238" si="653">RIGHT(J238,5)</f>
        <v>13:20</v>
      </c>
      <c r="L238" s="184" t="str">
        <f t="shared" ref="L238" si="654">H238</f>
        <v>№579</v>
      </c>
      <c r="M238" s="191">
        <f t="shared" ref="M238" si="655">(J238-F238)*24</f>
        <v>1.2333333333372138</v>
      </c>
      <c r="N238" s="61"/>
      <c r="P238" s="169" t="s">
        <v>531</v>
      </c>
      <c r="Q238" s="185">
        <f t="shared" ref="Q238" si="656">(F238-P238)*24</f>
        <v>1.8666666666395031</v>
      </c>
      <c r="R238" s="192">
        <f>Q238-1</f>
        <v>0.86666666663950309</v>
      </c>
    </row>
    <row r="239" spans="1:18" s="62" customFormat="1" ht="18" customHeight="1" thickBot="1">
      <c r="A239" s="484">
        <v>3</v>
      </c>
      <c r="B239" s="190">
        <v>1638</v>
      </c>
      <c r="C239" s="482"/>
      <c r="D239" s="485"/>
      <c r="E239" s="483"/>
      <c r="F239" s="169" t="s">
        <v>844</v>
      </c>
      <c r="G239" s="193" t="str">
        <f t="shared" ref="G239" si="657">RIGHT(F239,5)</f>
        <v>22:14</v>
      </c>
      <c r="H239" s="243" t="s">
        <v>857</v>
      </c>
      <c r="I239" s="184" t="s">
        <v>15</v>
      </c>
      <c r="J239" s="169" t="s">
        <v>845</v>
      </c>
      <c r="K239" s="193" t="str">
        <f t="shared" ref="K239" si="658">RIGHT(J239,5)</f>
        <v>23:46</v>
      </c>
      <c r="L239" s="184" t="str">
        <f t="shared" ref="L239" si="659">H239</f>
        <v>№653</v>
      </c>
      <c r="M239" s="191">
        <f t="shared" ref="M239" si="660">(J239-F239)*24</f>
        <v>1.5333333332673647</v>
      </c>
      <c r="N239" s="61"/>
      <c r="P239" s="169" t="s">
        <v>843</v>
      </c>
      <c r="Q239" s="185">
        <f t="shared" ref="Q239" si="661">(F239-P239)*24</f>
        <v>7.5833333332557231</v>
      </c>
      <c r="R239" s="192">
        <f>Q239-1</f>
        <v>6.5833333332557231</v>
      </c>
    </row>
    <row r="240" spans="1:18" s="62" customFormat="1" ht="18" customHeight="1" thickBot="1">
      <c r="A240" s="123" t="s">
        <v>16</v>
      </c>
      <c r="B240" s="124"/>
      <c r="C240" s="166">
        <f>Пробеги!E112</f>
        <v>14842</v>
      </c>
      <c r="D240" s="167">
        <f>C240*2</f>
        <v>29684</v>
      </c>
      <c r="E240" s="168">
        <f>DAY(EOMONTH($S$427,0))*24-M240-R240</f>
        <v>732.36666666675592</v>
      </c>
      <c r="F240" s="109"/>
      <c r="G240" s="108"/>
      <c r="H240" s="107"/>
      <c r="I240" s="107"/>
      <c r="J240" s="107"/>
      <c r="K240" s="107"/>
      <c r="L240" s="107"/>
      <c r="M240" s="168">
        <f>SUM(M237:M239)</f>
        <v>4.1833333333488554</v>
      </c>
      <c r="N240" s="61"/>
      <c r="P240" s="171"/>
      <c r="Q240" s="170">
        <f>SUM(Q237:Q239)</f>
        <v>9.9666666664998047</v>
      </c>
      <c r="R240" s="170">
        <f>SUM(R237:R239)</f>
        <v>7.4499999998952262</v>
      </c>
    </row>
    <row r="241" spans="1:19" s="62" customFormat="1" ht="18" customHeight="1">
      <c r="A241" s="189">
        <v>1</v>
      </c>
      <c r="B241" s="190">
        <v>1639</v>
      </c>
      <c r="C241" s="184"/>
      <c r="D241" s="200"/>
      <c r="E241" s="191"/>
      <c r="F241" s="169" t="s">
        <v>80</v>
      </c>
      <c r="G241" s="193" t="str">
        <f t="shared" ref="G241" si="662">RIGHT(F241,5)</f>
        <v>04:20</v>
      </c>
      <c r="H241" s="243" t="s">
        <v>125</v>
      </c>
      <c r="I241" s="184" t="s">
        <v>15</v>
      </c>
      <c r="J241" s="169" t="s">
        <v>81</v>
      </c>
      <c r="K241" s="193" t="str">
        <f t="shared" ref="K241" si="663">RIGHT(J241,5)</f>
        <v>05:37</v>
      </c>
      <c r="L241" s="184" t="str">
        <f t="shared" ref="L241" si="664">H241</f>
        <v>№474</v>
      </c>
      <c r="M241" s="191">
        <f t="shared" ref="M241" si="665">(J241-F241)*24</f>
        <v>1.2833333333255723</v>
      </c>
      <c r="N241" s="61"/>
      <c r="P241" s="169" t="s">
        <v>79</v>
      </c>
      <c r="Q241" s="185">
        <f t="shared" ref="Q241" si="666">(F241-P241)*24</f>
        <v>5.0833333333139308</v>
      </c>
      <c r="R241" s="192">
        <f>Q241-1</f>
        <v>4.0833333333139308</v>
      </c>
    </row>
    <row r="242" spans="1:19" s="62" customFormat="1" ht="18" customHeight="1">
      <c r="A242" s="337">
        <v>2</v>
      </c>
      <c r="B242" s="190">
        <v>1639</v>
      </c>
      <c r="C242" s="335"/>
      <c r="D242" s="338"/>
      <c r="E242" s="336"/>
      <c r="F242" s="169" t="s">
        <v>337</v>
      </c>
      <c r="G242" s="193" t="str">
        <f t="shared" ref="G242" si="667">RIGHT(F242,5)</f>
        <v>17:36</v>
      </c>
      <c r="H242" s="243" t="s">
        <v>405</v>
      </c>
      <c r="I242" s="184" t="s">
        <v>15</v>
      </c>
      <c r="J242" s="169" t="s">
        <v>338</v>
      </c>
      <c r="K242" s="193" t="str">
        <f t="shared" ref="K242" si="668">RIGHT(J242,5)</f>
        <v>18:39</v>
      </c>
      <c r="L242" s="184" t="str">
        <f t="shared" ref="L242" si="669">H242</f>
        <v>№538</v>
      </c>
      <c r="M242" s="191">
        <f t="shared" ref="M242" si="670">(J242-F242)*24</f>
        <v>1.0500000001047738</v>
      </c>
      <c r="N242" s="61"/>
      <c r="P242" s="169" t="s">
        <v>336</v>
      </c>
      <c r="Q242" s="185">
        <f t="shared" ref="Q242" si="671">(F242-P242)*24</f>
        <v>5.8999999998486601</v>
      </c>
      <c r="R242" s="192">
        <f>Q242-1</f>
        <v>4.8999999998486601</v>
      </c>
    </row>
    <row r="243" spans="1:19" s="62" customFormat="1" ht="18" customHeight="1">
      <c r="A243" s="451">
        <v>3</v>
      </c>
      <c r="B243" s="190">
        <v>1639</v>
      </c>
      <c r="C243" s="449"/>
      <c r="D243" s="463"/>
      <c r="E243" s="450"/>
      <c r="F243" s="169" t="s">
        <v>668</v>
      </c>
      <c r="G243" s="193" t="str">
        <f t="shared" ref="G243:G244" si="672">RIGHT(F243,5)</f>
        <v>21:04</v>
      </c>
      <c r="H243" s="243" t="s">
        <v>712</v>
      </c>
      <c r="I243" s="184" t="s">
        <v>15</v>
      </c>
      <c r="J243" s="169" t="s">
        <v>669</v>
      </c>
      <c r="K243" s="193" t="str">
        <f t="shared" ref="K243:K244" si="673">RIGHT(J243,5)</f>
        <v>22:07</v>
      </c>
      <c r="L243" s="184" t="str">
        <f t="shared" ref="L243:L244" si="674">H243</f>
        <v>№596</v>
      </c>
      <c r="M243" s="191">
        <f t="shared" ref="M243:M244" si="675">(J243-F243)*24</f>
        <v>1.0499999999301508</v>
      </c>
      <c r="N243" s="61"/>
      <c r="P243" s="169" t="s">
        <v>667</v>
      </c>
      <c r="Q243" s="185">
        <f t="shared" ref="Q243:Q244" si="676">(F243-P243)*24</f>
        <v>4.4833333334536292</v>
      </c>
      <c r="R243" s="192">
        <f>Q243-1</f>
        <v>3.4833333334536292</v>
      </c>
    </row>
    <row r="244" spans="1:19" s="62" customFormat="1" ht="18" customHeight="1">
      <c r="A244" s="468">
        <v>4</v>
      </c>
      <c r="B244" s="190">
        <v>1639</v>
      </c>
      <c r="C244" s="466"/>
      <c r="D244" s="469"/>
      <c r="E244" s="467"/>
      <c r="F244" s="169" t="s">
        <v>768</v>
      </c>
      <c r="G244" s="193" t="str">
        <f t="shared" si="672"/>
        <v>22:31</v>
      </c>
      <c r="H244" s="243" t="s">
        <v>820</v>
      </c>
      <c r="I244" s="184" t="s">
        <v>51</v>
      </c>
      <c r="J244" s="169" t="s">
        <v>769</v>
      </c>
      <c r="K244" s="193" t="str">
        <f t="shared" si="673"/>
        <v>23:37</v>
      </c>
      <c r="L244" s="184" t="str">
        <f t="shared" si="674"/>
        <v>№260</v>
      </c>
      <c r="M244" s="191">
        <f t="shared" si="675"/>
        <v>1.0999999999185093</v>
      </c>
      <c r="N244" s="61"/>
      <c r="P244" s="169" t="s">
        <v>767</v>
      </c>
      <c r="Q244" s="185">
        <f t="shared" si="676"/>
        <v>3.4000000000814907</v>
      </c>
      <c r="R244" s="384">
        <v>0</v>
      </c>
    </row>
    <row r="245" spans="1:19" s="62" customFormat="1" ht="18" customHeight="1" thickBot="1">
      <c r="A245" s="486">
        <v>5</v>
      </c>
      <c r="B245" s="190">
        <v>1639</v>
      </c>
      <c r="C245" s="490"/>
      <c r="D245" s="495"/>
      <c r="E245" s="489"/>
      <c r="F245" s="169" t="s">
        <v>911</v>
      </c>
      <c r="G245" s="193" t="str">
        <f t="shared" ref="G245" si="677">RIGHT(F245,5)</f>
        <v>17:31</v>
      </c>
      <c r="H245" s="243" t="s">
        <v>949</v>
      </c>
      <c r="I245" s="184" t="s">
        <v>15</v>
      </c>
      <c r="J245" s="169" t="s">
        <v>912</v>
      </c>
      <c r="K245" s="193" t="str">
        <f t="shared" ref="K245" si="678">RIGHT(J245,5)</f>
        <v>18:49</v>
      </c>
      <c r="L245" s="184" t="str">
        <f t="shared" ref="L245" si="679">H245</f>
        <v>№672</v>
      </c>
      <c r="M245" s="191">
        <f t="shared" ref="M245" si="680">(J245-F245)*24</f>
        <v>1.3000000000465661</v>
      </c>
      <c r="N245" s="61"/>
      <c r="P245" s="169" t="s">
        <v>910</v>
      </c>
      <c r="Q245" s="185">
        <f t="shared" ref="Q245" si="681">(F245-P245)*24</f>
        <v>2.5499999999301508</v>
      </c>
      <c r="R245" s="192">
        <f>Q245-1</f>
        <v>1.5499999999301508</v>
      </c>
    </row>
    <row r="246" spans="1:19" s="62" customFormat="1" ht="18" customHeight="1" thickBot="1">
      <c r="A246" s="123" t="s">
        <v>16</v>
      </c>
      <c r="B246" s="124"/>
      <c r="C246" s="166">
        <f>Пробеги!E114</f>
        <v>14620</v>
      </c>
      <c r="D246" s="167">
        <f>C246*2</f>
        <v>29240</v>
      </c>
      <c r="E246" s="168">
        <f>DAY(EOMONTH($S$427,0))*24-M246-R246</f>
        <v>724.20000000012806</v>
      </c>
      <c r="F246" s="109"/>
      <c r="G246" s="108"/>
      <c r="H246" s="124"/>
      <c r="I246" s="124"/>
      <c r="J246" s="124"/>
      <c r="K246" s="124"/>
      <c r="L246" s="124"/>
      <c r="M246" s="168">
        <f>SUM(M241:M245)</f>
        <v>5.7833333333255723</v>
      </c>
      <c r="N246" s="61"/>
      <c r="P246" s="171"/>
      <c r="Q246" s="170">
        <f>SUM(Q241:Q245)</f>
        <v>21.416666666627862</v>
      </c>
      <c r="R246" s="170">
        <f>SUM(R241:R245)</f>
        <v>14.016666666546371</v>
      </c>
    </row>
    <row r="247" spans="1:19" s="62" customFormat="1" ht="18" customHeight="1">
      <c r="A247" s="189">
        <v>1</v>
      </c>
      <c r="B247" s="190">
        <v>1640</v>
      </c>
      <c r="C247" s="184"/>
      <c r="D247" s="200"/>
      <c r="E247" s="191"/>
      <c r="F247" s="169" t="s">
        <v>98</v>
      </c>
      <c r="G247" s="193" t="str">
        <f t="shared" ref="G247:G249" si="682">RIGHT(F247,5)</f>
        <v>10:52</v>
      </c>
      <c r="H247" s="243" t="s">
        <v>126</v>
      </c>
      <c r="I247" s="184" t="s">
        <v>15</v>
      </c>
      <c r="J247" s="169" t="s">
        <v>99</v>
      </c>
      <c r="K247" s="193" t="str">
        <f t="shared" ref="K247:K249" si="683">RIGHT(J247,5)</f>
        <v>12:00</v>
      </c>
      <c r="L247" s="184" t="str">
        <f t="shared" ref="L247:L249" si="684">H247</f>
        <v>№477</v>
      </c>
      <c r="M247" s="191">
        <f t="shared" ref="M247:M249" si="685">(J247-F247)*24</f>
        <v>1.1333333333604969</v>
      </c>
      <c r="N247" s="61"/>
      <c r="P247" s="169" t="s">
        <v>97</v>
      </c>
      <c r="Q247" s="185">
        <f t="shared" ref="Q247:Q248" si="686">(F247-P247)*24</f>
        <v>1.6499999999650754</v>
      </c>
      <c r="R247" s="192">
        <f>Q247-1</f>
        <v>0.6499999999650754</v>
      </c>
    </row>
    <row r="248" spans="1:19" s="62" customFormat="1" ht="18" customHeight="1">
      <c r="A248" s="296">
        <v>2</v>
      </c>
      <c r="B248" s="190">
        <v>1640</v>
      </c>
      <c r="C248" s="289"/>
      <c r="D248" s="297"/>
      <c r="E248" s="290"/>
      <c r="F248" s="169" t="s">
        <v>255</v>
      </c>
      <c r="G248" s="193" t="str">
        <f t="shared" si="682"/>
        <v>11:57</v>
      </c>
      <c r="H248" s="243" t="s">
        <v>498</v>
      </c>
      <c r="I248" s="184" t="s">
        <v>51</v>
      </c>
      <c r="J248" s="169" t="s">
        <v>256</v>
      </c>
      <c r="K248" s="193" t="str">
        <f t="shared" si="683"/>
        <v>19:45</v>
      </c>
      <c r="L248" s="184" t="str">
        <f t="shared" si="684"/>
        <v>№200</v>
      </c>
      <c r="M248" s="191">
        <f t="shared" si="685"/>
        <v>7.7999999999301508</v>
      </c>
      <c r="N248" s="61"/>
      <c r="P248" s="169" t="s">
        <v>254</v>
      </c>
      <c r="Q248" s="185">
        <f t="shared" si="686"/>
        <v>55.96666666661622</v>
      </c>
      <c r="R248" s="192">
        <f>Q248</f>
        <v>55.96666666661622</v>
      </c>
    </row>
    <row r="249" spans="1:19" s="62" customFormat="1" ht="18" customHeight="1">
      <c r="A249" s="349">
        <v>3</v>
      </c>
      <c r="B249" s="190">
        <v>1640</v>
      </c>
      <c r="C249" s="347"/>
      <c r="D249" s="351"/>
      <c r="E249" s="348"/>
      <c r="F249" s="169" t="s">
        <v>363</v>
      </c>
      <c r="G249" s="193" t="str">
        <f t="shared" si="682"/>
        <v>19:01</v>
      </c>
      <c r="H249" s="243" t="s">
        <v>479</v>
      </c>
      <c r="I249" s="184" t="s">
        <v>138</v>
      </c>
      <c r="J249" s="169" t="s">
        <v>467</v>
      </c>
      <c r="K249" s="193" t="str">
        <f t="shared" si="683"/>
        <v>17:52</v>
      </c>
      <c r="L249" s="184" t="str">
        <f t="shared" si="684"/>
        <v>№31</v>
      </c>
      <c r="M249" s="191">
        <f t="shared" si="685"/>
        <v>46.849999999918509</v>
      </c>
      <c r="N249" s="61"/>
      <c r="P249" s="169" t="s">
        <v>362</v>
      </c>
      <c r="Q249" s="185">
        <v>11.800000000046566</v>
      </c>
      <c r="R249" s="192">
        <f>Q249-Q249</f>
        <v>0</v>
      </c>
    </row>
    <row r="250" spans="1:19" s="62" customFormat="1" ht="18" customHeight="1">
      <c r="A250" s="370">
        <v>4</v>
      </c>
      <c r="B250" s="190">
        <v>1640</v>
      </c>
      <c r="C250" s="366"/>
      <c r="D250" s="375"/>
      <c r="E250" s="367"/>
      <c r="F250" s="169" t="s">
        <v>469</v>
      </c>
      <c r="G250" s="193" t="str">
        <f t="shared" ref="G250:G251" si="687">RIGHT(F250,5)</f>
        <v>18:18</v>
      </c>
      <c r="H250" s="243" t="s">
        <v>499</v>
      </c>
      <c r="I250" s="184" t="s">
        <v>51</v>
      </c>
      <c r="J250" s="169" t="s">
        <v>470</v>
      </c>
      <c r="K250" s="193" t="str">
        <f t="shared" ref="K250:K251" si="688">RIGHT(J250,5)</f>
        <v>19:17</v>
      </c>
      <c r="L250" s="184" t="str">
        <f t="shared" ref="L250:L251" si="689">H250</f>
        <v>№237</v>
      </c>
      <c r="M250" s="191">
        <f t="shared" ref="M250:M251" si="690">(J250-F250)*24</f>
        <v>0.9833333333954215</v>
      </c>
      <c r="N250" s="61"/>
      <c r="P250" s="169" t="s">
        <v>468</v>
      </c>
      <c r="Q250" s="185">
        <f t="shared" ref="Q250:Q251" si="691">(F250-P250)*24</f>
        <v>15.549999999871943</v>
      </c>
      <c r="R250" s="384">
        <v>0</v>
      </c>
    </row>
    <row r="251" spans="1:19" s="62" customFormat="1" ht="18" customHeight="1" thickBot="1">
      <c r="A251" s="451">
        <v>5</v>
      </c>
      <c r="B251" s="190">
        <v>1640</v>
      </c>
      <c r="C251" s="449"/>
      <c r="D251" s="463"/>
      <c r="E251" s="450"/>
      <c r="F251" s="169" t="s">
        <v>770</v>
      </c>
      <c r="G251" s="193" t="str">
        <f t="shared" si="687"/>
        <v>14:38</v>
      </c>
      <c r="H251" s="243" t="s">
        <v>779</v>
      </c>
      <c r="I251" s="184" t="s">
        <v>15</v>
      </c>
      <c r="J251" s="169" t="s">
        <v>771</v>
      </c>
      <c r="K251" s="193" t="str">
        <f t="shared" si="688"/>
        <v>16:02</v>
      </c>
      <c r="L251" s="184" t="str">
        <f t="shared" si="689"/>
        <v>№632</v>
      </c>
      <c r="M251" s="191">
        <f t="shared" si="690"/>
        <v>1.4000000000232831</v>
      </c>
      <c r="N251" s="61"/>
      <c r="P251" s="169" t="s">
        <v>670</v>
      </c>
      <c r="Q251" s="185">
        <f t="shared" si="691"/>
        <v>8.0000000000582077</v>
      </c>
      <c r="R251" s="192">
        <f>Q251-1</f>
        <v>7.0000000000582077</v>
      </c>
      <c r="S251" s="187"/>
    </row>
    <row r="252" spans="1:19" s="62" customFormat="1" ht="18" customHeight="1" thickBot="1">
      <c r="A252" s="123" t="s">
        <v>16</v>
      </c>
      <c r="B252" s="124"/>
      <c r="C252" s="166">
        <f>Пробеги!E116</f>
        <v>12196</v>
      </c>
      <c r="D252" s="167">
        <f>C252*2</f>
        <v>24392</v>
      </c>
      <c r="E252" s="168">
        <f>DAY(EOMONTH($S$427,0))*24-M252-R252</f>
        <v>622.21666666673264</v>
      </c>
      <c r="F252" s="109"/>
      <c r="G252" s="108"/>
      <c r="H252" s="124"/>
      <c r="I252" s="124"/>
      <c r="J252" s="124"/>
      <c r="K252" s="124"/>
      <c r="L252" s="124"/>
      <c r="M252" s="168">
        <f>SUM(M247:M251)</f>
        <v>58.166666666627862</v>
      </c>
      <c r="N252" s="61"/>
      <c r="P252" s="171"/>
      <c r="Q252" s="170">
        <f>SUM(Q247:Q251)</f>
        <v>92.966666666558012</v>
      </c>
      <c r="R252" s="170">
        <f>SUM(R247:R251)</f>
        <v>63.616666666639503</v>
      </c>
      <c r="S252" s="187"/>
    </row>
    <row r="253" spans="1:19" s="62" customFormat="1" ht="18" customHeight="1">
      <c r="A253" s="189">
        <v>1</v>
      </c>
      <c r="B253" s="190">
        <v>1641</v>
      </c>
      <c r="C253" s="208"/>
      <c r="D253" s="209"/>
      <c r="E253" s="210"/>
      <c r="F253" s="169" t="s">
        <v>257</v>
      </c>
      <c r="G253" s="193" t="str">
        <f t="shared" ref="G253:G254" si="692">RIGHT(F253,5)</f>
        <v>08:26</v>
      </c>
      <c r="H253" s="243" t="s">
        <v>305</v>
      </c>
      <c r="I253" s="184" t="s">
        <v>15</v>
      </c>
      <c r="J253" s="169" t="s">
        <v>258</v>
      </c>
      <c r="K253" s="193" t="str">
        <f t="shared" ref="K253:K254" si="693">RIGHT(J253,5)</f>
        <v>09:34</v>
      </c>
      <c r="L253" s="184" t="str">
        <f t="shared" ref="L253:L254" si="694">H253</f>
        <v>№505</v>
      </c>
      <c r="M253" s="191">
        <f t="shared" ref="M253:M254" si="695">(J253-F253)*24</f>
        <v>1.1333333331858739</v>
      </c>
      <c r="N253" s="61"/>
      <c r="P253" s="169" t="s">
        <v>181</v>
      </c>
      <c r="Q253" s="185">
        <f t="shared" ref="Q253:Q254" si="696">(F253-P253)*24</f>
        <v>5.5000000001164153</v>
      </c>
      <c r="R253" s="192">
        <f>Q253-1</f>
        <v>4.5000000001164153</v>
      </c>
    </row>
    <row r="254" spans="1:19" s="62" customFormat="1" ht="18" customHeight="1">
      <c r="A254" s="349">
        <v>2</v>
      </c>
      <c r="B254" s="190">
        <v>1641</v>
      </c>
      <c r="C254" s="347"/>
      <c r="D254" s="351"/>
      <c r="E254" s="348"/>
      <c r="F254" s="169" t="s">
        <v>365</v>
      </c>
      <c r="G254" s="193" t="str">
        <f t="shared" si="692"/>
        <v>16:03</v>
      </c>
      <c r="H254" s="243" t="s">
        <v>500</v>
      </c>
      <c r="I254" s="184" t="s">
        <v>51</v>
      </c>
      <c r="J254" s="169" t="s">
        <v>366</v>
      </c>
      <c r="K254" s="193" t="str">
        <f t="shared" si="693"/>
        <v>16:31</v>
      </c>
      <c r="L254" s="184" t="str">
        <f t="shared" si="694"/>
        <v>№227</v>
      </c>
      <c r="M254" s="191">
        <f t="shared" si="695"/>
        <v>0.46666666679084301</v>
      </c>
      <c r="N254" s="61"/>
      <c r="P254" s="169" t="s">
        <v>364</v>
      </c>
      <c r="Q254" s="185">
        <f t="shared" si="696"/>
        <v>2.2833333332673647</v>
      </c>
      <c r="R254" s="384">
        <v>0</v>
      </c>
    </row>
    <row r="255" spans="1:19" s="62" customFormat="1" ht="18" customHeight="1">
      <c r="A255" s="397">
        <v>3</v>
      </c>
      <c r="B255" s="190">
        <v>1641</v>
      </c>
      <c r="C255" s="398"/>
      <c r="D255" s="399"/>
      <c r="E255" s="400"/>
      <c r="F255" s="169" t="s">
        <v>502</v>
      </c>
      <c r="G255" s="193" t="str">
        <f t="shared" ref="G255:G256" si="697">RIGHT(F255,5)</f>
        <v>14:00</v>
      </c>
      <c r="H255" s="243" t="s">
        <v>523</v>
      </c>
      <c r="I255" s="184" t="s">
        <v>15</v>
      </c>
      <c r="J255" s="169" t="s">
        <v>515</v>
      </c>
      <c r="K255" s="193" t="str">
        <f t="shared" ref="K255:K256" si="698">RIGHT(J255,5)</f>
        <v>15:16</v>
      </c>
      <c r="L255" s="184" t="str">
        <f t="shared" ref="L255:L256" si="699">H255</f>
        <v>№575</v>
      </c>
      <c r="M255" s="191">
        <f t="shared" ref="M255:M256" si="700">(J255-F255)*24</f>
        <v>1.2666666666045785</v>
      </c>
      <c r="N255" s="61"/>
      <c r="P255" s="169" t="s">
        <v>501</v>
      </c>
      <c r="Q255" s="185">
        <f t="shared" ref="Q255" si="701">(F255-P255)*24</f>
        <v>1.8666666666395031</v>
      </c>
      <c r="R255" s="192">
        <f>Q255-1</f>
        <v>0.86666666663950309</v>
      </c>
    </row>
    <row r="256" spans="1:19" s="62" customFormat="1" ht="18" customHeight="1" thickBot="1">
      <c r="A256" s="468">
        <v>4</v>
      </c>
      <c r="B256" s="190">
        <v>1641</v>
      </c>
      <c r="C256" s="466"/>
      <c r="D256" s="469"/>
      <c r="E256" s="467"/>
      <c r="F256" s="169" t="s">
        <v>792</v>
      </c>
      <c r="G256" s="193" t="str">
        <f t="shared" si="697"/>
        <v>10:52</v>
      </c>
      <c r="H256" s="243" t="s">
        <v>810</v>
      </c>
      <c r="I256" s="184" t="s">
        <v>138</v>
      </c>
      <c r="J256" s="169" t="s">
        <v>793</v>
      </c>
      <c r="K256" s="193" t="str">
        <f t="shared" si="698"/>
        <v>23:54</v>
      </c>
      <c r="L256" s="184" t="str">
        <f t="shared" si="699"/>
        <v>№43</v>
      </c>
      <c r="M256" s="191">
        <f t="shared" si="700"/>
        <v>13.03333333338378</v>
      </c>
      <c r="N256" s="61"/>
      <c r="P256" s="169" t="s">
        <v>772</v>
      </c>
      <c r="Q256" s="185">
        <v>11.800000000046566</v>
      </c>
      <c r="R256" s="192">
        <f>Q256-Q256</f>
        <v>0</v>
      </c>
    </row>
    <row r="257" spans="1:18" s="62" customFormat="1" ht="18" customHeight="1" thickBot="1">
      <c r="A257" s="123" t="s">
        <v>16</v>
      </c>
      <c r="B257" s="124"/>
      <c r="C257" s="166">
        <f>Пробеги!E118</f>
        <v>13367</v>
      </c>
      <c r="D257" s="167">
        <f>C257*2</f>
        <v>26734</v>
      </c>
      <c r="E257" s="168">
        <f>DAY(EOMONTH($S$427,0))*24-M257-R257</f>
        <v>722.73333333327901</v>
      </c>
      <c r="F257" s="109"/>
      <c r="G257" s="108"/>
      <c r="H257" s="107"/>
      <c r="I257" s="107"/>
      <c r="J257" s="107"/>
      <c r="K257" s="107"/>
      <c r="L257" s="107"/>
      <c r="M257" s="168">
        <f>SUM(M253:M256)</f>
        <v>15.899999999965075</v>
      </c>
      <c r="N257" s="61"/>
      <c r="P257" s="171"/>
      <c r="Q257" s="170">
        <f>SUM(Q253:Q256)</f>
        <v>21.450000000069849</v>
      </c>
      <c r="R257" s="170">
        <f>SUM(R253:R256)</f>
        <v>5.3666666667559184</v>
      </c>
    </row>
    <row r="258" spans="1:18" s="62" customFormat="1" ht="18" customHeight="1">
      <c r="A258" s="189">
        <v>1</v>
      </c>
      <c r="B258" s="284">
        <v>1642</v>
      </c>
      <c r="C258" s="208"/>
      <c r="D258" s="209"/>
      <c r="E258" s="210"/>
      <c r="F258" s="169" t="s">
        <v>259</v>
      </c>
      <c r="G258" s="193" t="str">
        <f t="shared" ref="G258" si="702">RIGHT(F258,5)</f>
        <v>09:37</v>
      </c>
      <c r="H258" s="243" t="s">
        <v>306</v>
      </c>
      <c r="I258" s="184" t="s">
        <v>15</v>
      </c>
      <c r="J258" s="169" t="s">
        <v>260</v>
      </c>
      <c r="K258" s="193" t="str">
        <f t="shared" ref="K258" si="703">RIGHT(J258,5)</f>
        <v>10:39</v>
      </c>
      <c r="L258" s="184" t="str">
        <f t="shared" ref="L258" si="704">H258</f>
        <v>№506</v>
      </c>
      <c r="M258" s="191">
        <f t="shared" ref="M258" si="705">(J258-F258)*24</f>
        <v>1.03333333338378</v>
      </c>
      <c r="N258" s="61"/>
      <c r="P258" s="169" t="s">
        <v>182</v>
      </c>
      <c r="Q258" s="185">
        <f t="shared" ref="Q258" si="706">(F258-P258)*24</f>
        <v>4.0499999999301508</v>
      </c>
      <c r="R258" s="192">
        <f>Q258-1</f>
        <v>3.0499999999301508</v>
      </c>
    </row>
    <row r="259" spans="1:18" s="62" customFormat="1" ht="18" customHeight="1">
      <c r="A259" s="370">
        <v>2</v>
      </c>
      <c r="B259" s="284">
        <v>1642</v>
      </c>
      <c r="C259" s="366"/>
      <c r="D259" s="375"/>
      <c r="E259" s="367"/>
      <c r="F259" s="169" t="s">
        <v>459</v>
      </c>
      <c r="G259" s="193" t="str">
        <f t="shared" ref="G259" si="707">RIGHT(F259,5)</f>
        <v>11:34</v>
      </c>
      <c r="H259" s="243" t="s">
        <v>540</v>
      </c>
      <c r="I259" s="184" t="s">
        <v>15</v>
      </c>
      <c r="J259" s="169" t="s">
        <v>460</v>
      </c>
      <c r="K259" s="193" t="str">
        <f t="shared" ref="K259" si="708">RIGHT(J259,5)</f>
        <v>12:45</v>
      </c>
      <c r="L259" s="184" t="str">
        <f t="shared" ref="L259" si="709">H259</f>
        <v>№565</v>
      </c>
      <c r="M259" s="191">
        <f t="shared" ref="M259" si="710">(J259-F259)*24</f>
        <v>1.1833333333488554</v>
      </c>
      <c r="N259" s="61"/>
      <c r="P259" s="169" t="s">
        <v>458</v>
      </c>
      <c r="Q259" s="185">
        <f t="shared" ref="Q259" si="711">(F259-P259)*24</f>
        <v>2.0000000000582077</v>
      </c>
      <c r="R259" s="192">
        <f>Q259-1</f>
        <v>1.0000000000582077</v>
      </c>
    </row>
    <row r="260" spans="1:18" s="62" customFormat="1" ht="18" customHeight="1">
      <c r="A260" s="451">
        <v>3</v>
      </c>
      <c r="B260" s="284">
        <v>1642</v>
      </c>
      <c r="C260" s="449"/>
      <c r="D260" s="463"/>
      <c r="E260" s="450"/>
      <c r="F260" s="169" t="s">
        <v>749</v>
      </c>
      <c r="G260" s="193" t="str">
        <f t="shared" ref="G260:G261" si="712">RIGHT(F260,5)</f>
        <v>11:21</v>
      </c>
      <c r="H260" s="243" t="s">
        <v>780</v>
      </c>
      <c r="I260" s="184" t="s">
        <v>15</v>
      </c>
      <c r="J260" s="169" t="s">
        <v>750</v>
      </c>
      <c r="K260" s="193" t="str">
        <f t="shared" ref="K260:K261" si="713">RIGHT(J260,5)</f>
        <v>12:43</v>
      </c>
      <c r="L260" s="184" t="str">
        <f t="shared" ref="L260:L261" si="714">H260</f>
        <v>№631</v>
      </c>
      <c r="M260" s="191">
        <f t="shared" ref="M260:M261" si="715">(J260-F260)*24</f>
        <v>1.3666666667559184</v>
      </c>
      <c r="N260" s="61"/>
      <c r="P260" s="169" t="s">
        <v>671</v>
      </c>
      <c r="Q260" s="185">
        <f t="shared" ref="Q260:Q261" si="716">(F260-P260)*24</f>
        <v>5.71666666661622</v>
      </c>
      <c r="R260" s="192">
        <f>Q260-1</f>
        <v>4.71666666661622</v>
      </c>
    </row>
    <row r="261" spans="1:18" s="62" customFormat="1" ht="18" customHeight="1" thickBot="1">
      <c r="A261" s="451">
        <v>4</v>
      </c>
      <c r="B261" s="284">
        <v>1642</v>
      </c>
      <c r="C261" s="449"/>
      <c r="D261" s="463"/>
      <c r="E261" s="450"/>
      <c r="F261" s="169" t="s">
        <v>861</v>
      </c>
      <c r="G261" s="193" t="str">
        <f t="shared" si="712"/>
        <v>09:02</v>
      </c>
      <c r="H261" s="243" t="s">
        <v>821</v>
      </c>
      <c r="I261" s="184" t="s">
        <v>51</v>
      </c>
      <c r="J261" s="169" t="s">
        <v>958</v>
      </c>
      <c r="K261" s="193" t="str">
        <f t="shared" si="713"/>
        <v>21:50</v>
      </c>
      <c r="L261" s="184" t="str">
        <f t="shared" si="714"/>
        <v>№262</v>
      </c>
      <c r="M261" s="191">
        <f t="shared" si="715"/>
        <v>12.799999999988358</v>
      </c>
      <c r="N261" s="61"/>
      <c r="P261" s="169" t="s">
        <v>751</v>
      </c>
      <c r="Q261" s="185">
        <f t="shared" si="716"/>
        <v>67.466666666558012</v>
      </c>
      <c r="R261" s="192">
        <f>Q261</f>
        <v>67.466666666558012</v>
      </c>
    </row>
    <row r="262" spans="1:18" s="62" customFormat="1" ht="18" customHeight="1" thickBot="1">
      <c r="A262" s="123" t="s">
        <v>16</v>
      </c>
      <c r="B262" s="124"/>
      <c r="C262" s="166">
        <f>Пробеги!E120</f>
        <v>12605</v>
      </c>
      <c r="D262" s="167">
        <f>C262*2</f>
        <v>25210</v>
      </c>
      <c r="E262" s="168">
        <f>DAY(EOMONTH($S$427,0))*24-M262-R262</f>
        <v>651.3833333333605</v>
      </c>
      <c r="F262" s="109"/>
      <c r="G262" s="108"/>
      <c r="H262" s="107"/>
      <c r="I262" s="107"/>
      <c r="J262" s="124"/>
      <c r="K262" s="124"/>
      <c r="L262" s="107"/>
      <c r="M262" s="168">
        <f>SUM(M258:M261)</f>
        <v>16.383333333476912</v>
      </c>
      <c r="N262" s="61"/>
      <c r="P262" s="171"/>
      <c r="Q262" s="170">
        <f>SUM(Q258:Q261)</f>
        <v>79.233333333162591</v>
      </c>
      <c r="R262" s="170">
        <f>SUM(R258:R261)</f>
        <v>76.233333333162591</v>
      </c>
    </row>
    <row r="263" spans="1:18" s="62" customFormat="1" ht="18" customHeight="1">
      <c r="A263" s="189">
        <v>1</v>
      </c>
      <c r="B263" s="190">
        <v>1643</v>
      </c>
      <c r="C263" s="208"/>
      <c r="D263" s="209"/>
      <c r="E263" s="210"/>
      <c r="F263" s="169" t="s">
        <v>262</v>
      </c>
      <c r="G263" s="193" t="str">
        <f t="shared" ref="G263" si="717">RIGHT(F263,5)</f>
        <v>11:23</v>
      </c>
      <c r="H263" s="243" t="s">
        <v>307</v>
      </c>
      <c r="I263" s="184" t="s">
        <v>15</v>
      </c>
      <c r="J263" s="169" t="s">
        <v>263</v>
      </c>
      <c r="K263" s="193" t="str">
        <f t="shared" ref="K263" si="718">RIGHT(J263,5)</f>
        <v>12:39</v>
      </c>
      <c r="L263" s="184" t="str">
        <f t="shared" ref="L263" si="719">H263</f>
        <v>№521</v>
      </c>
      <c r="M263" s="191">
        <f t="shared" ref="M263" si="720">(J263-F263)*24</f>
        <v>1.2666666666045785</v>
      </c>
      <c r="N263" s="61"/>
      <c r="P263" s="169" t="s">
        <v>261</v>
      </c>
      <c r="Q263" s="185">
        <f t="shared" ref="Q263" si="721">(F263-P263)*24</f>
        <v>1.8000000001047738</v>
      </c>
      <c r="R263" s="192">
        <f>Q263-1</f>
        <v>0.80000000010477379</v>
      </c>
    </row>
    <row r="264" spans="1:18" s="62" customFormat="1" ht="18" customHeight="1">
      <c r="A264" s="445">
        <v>2</v>
      </c>
      <c r="B264" s="190">
        <v>1643</v>
      </c>
      <c r="C264" s="443"/>
      <c r="D264" s="446"/>
      <c r="E264" s="444"/>
      <c r="F264" s="169" t="s">
        <v>559</v>
      </c>
      <c r="G264" s="193" t="str">
        <f t="shared" ref="G264:G265" si="722">RIGHT(F264,5)</f>
        <v>03:12</v>
      </c>
      <c r="H264" s="243" t="s">
        <v>731</v>
      </c>
      <c r="I264" s="184" t="s">
        <v>15</v>
      </c>
      <c r="J264" s="169" t="s">
        <v>560</v>
      </c>
      <c r="K264" s="193" t="str">
        <f t="shared" ref="K264:K265" si="723">RIGHT(J264,5)</f>
        <v>04:26</v>
      </c>
      <c r="L264" s="184" t="str">
        <f t="shared" ref="L264:L265" si="724">H264</f>
        <v>№587</v>
      </c>
      <c r="M264" s="191">
        <f t="shared" ref="M264:M265" si="725">(J264-F264)*24</f>
        <v>1.2333333333372138</v>
      </c>
      <c r="N264" s="61"/>
      <c r="P264" s="169" t="s">
        <v>558</v>
      </c>
      <c r="Q264" s="185">
        <f t="shared" ref="Q264" si="726">(F264-P264)*24</f>
        <v>1.4333333332906477</v>
      </c>
      <c r="R264" s="192">
        <f>Q264-1</f>
        <v>0.43333333329064772</v>
      </c>
    </row>
    <row r="265" spans="1:18" s="62" customFormat="1" ht="18" customHeight="1" thickBot="1">
      <c r="A265" s="486">
        <v>3</v>
      </c>
      <c r="B265" s="190">
        <v>1643</v>
      </c>
      <c r="C265" s="490"/>
      <c r="D265" s="495"/>
      <c r="E265" s="489"/>
      <c r="F265" s="169" t="s">
        <v>914</v>
      </c>
      <c r="G265" s="193" t="str">
        <f t="shared" si="722"/>
        <v>11:50</v>
      </c>
      <c r="H265" s="243" t="s">
        <v>955</v>
      </c>
      <c r="I265" s="184" t="s">
        <v>138</v>
      </c>
      <c r="J265" s="169" t="s">
        <v>985</v>
      </c>
      <c r="K265" s="193" t="str">
        <f t="shared" si="723"/>
        <v>15:51</v>
      </c>
      <c r="L265" s="184" t="str">
        <f t="shared" si="724"/>
        <v>№45</v>
      </c>
      <c r="M265" s="191">
        <f t="shared" si="725"/>
        <v>28.016666666662786</v>
      </c>
      <c r="N265" s="61"/>
      <c r="P265" s="169" t="s">
        <v>913</v>
      </c>
      <c r="Q265" s="185">
        <v>11.800000000046566</v>
      </c>
      <c r="R265" s="192">
        <f>Q265-Q265</f>
        <v>0</v>
      </c>
    </row>
    <row r="266" spans="1:18" s="62" customFormat="1" ht="18" customHeight="1" thickBot="1">
      <c r="A266" s="123" t="s">
        <v>16</v>
      </c>
      <c r="B266" s="124"/>
      <c r="C266" s="166">
        <f>Пробеги!E122</f>
        <v>10844</v>
      </c>
      <c r="D266" s="167">
        <f>C266*2</f>
        <v>21688</v>
      </c>
      <c r="E266" s="168">
        <f>DAY(EOMONTH($S$427,0))*24-M266-R266</f>
        <v>712.25</v>
      </c>
      <c r="F266" s="109"/>
      <c r="G266" s="108"/>
      <c r="H266" s="107"/>
      <c r="I266" s="107"/>
      <c r="J266" s="124"/>
      <c r="K266" s="107"/>
      <c r="L266" s="107"/>
      <c r="M266" s="168">
        <f>SUM(M263:M265)</f>
        <v>30.516666666604578</v>
      </c>
      <c r="N266" s="61"/>
      <c r="P266" s="171"/>
      <c r="Q266" s="170">
        <f>SUM(Q263:Q265)</f>
        <v>15.033333333441988</v>
      </c>
      <c r="R266" s="170">
        <f>SUM(R263:R265)</f>
        <v>1.2333333333954215</v>
      </c>
    </row>
    <row r="267" spans="1:18" s="62" customFormat="1" ht="18" customHeight="1">
      <c r="A267" s="189">
        <v>1</v>
      </c>
      <c r="B267" s="190">
        <v>1644</v>
      </c>
      <c r="C267" s="208"/>
      <c r="D267" s="209"/>
      <c r="E267" s="210"/>
      <c r="F267" s="169" t="s">
        <v>265</v>
      </c>
      <c r="G267" s="193" t="str">
        <f t="shared" ref="G267" si="727">RIGHT(F267,5)</f>
        <v>13:07</v>
      </c>
      <c r="H267" s="243" t="s">
        <v>308</v>
      </c>
      <c r="I267" s="184" t="s">
        <v>15</v>
      </c>
      <c r="J267" s="169" t="s">
        <v>266</v>
      </c>
      <c r="K267" s="193" t="str">
        <f t="shared" ref="K267" si="728">RIGHT(J267,5)</f>
        <v>14:29</v>
      </c>
      <c r="L267" s="184" t="str">
        <f t="shared" ref="L267" si="729">H267</f>
        <v>№522</v>
      </c>
      <c r="M267" s="191">
        <f t="shared" ref="M267" si="730">(J267-F267)*24</f>
        <v>1.3666666667559184</v>
      </c>
      <c r="N267" s="61"/>
      <c r="P267" s="169" t="s">
        <v>264</v>
      </c>
      <c r="Q267" s="185">
        <f t="shared" ref="Q267" si="731">(F267-P267)*24</f>
        <v>3.566666666592937</v>
      </c>
      <c r="R267" s="192">
        <f>Q267-1</f>
        <v>2.566666666592937</v>
      </c>
    </row>
    <row r="268" spans="1:18" s="62" customFormat="1" ht="18" customHeight="1">
      <c r="A268" s="445">
        <v>2</v>
      </c>
      <c r="B268" s="190">
        <v>1644</v>
      </c>
      <c r="C268" s="443"/>
      <c r="D268" s="446"/>
      <c r="E268" s="444"/>
      <c r="F268" s="169" t="s">
        <v>672</v>
      </c>
      <c r="G268" s="193" t="str">
        <f t="shared" ref="G268" si="732">RIGHT(F268,5)</f>
        <v>08:15</v>
      </c>
      <c r="H268" s="243" t="s">
        <v>732</v>
      </c>
      <c r="I268" s="184" t="s">
        <v>15</v>
      </c>
      <c r="J268" s="169" t="s">
        <v>673</v>
      </c>
      <c r="K268" s="193" t="str">
        <f t="shared" ref="K268" si="733">RIGHT(J268,5)</f>
        <v>09:27</v>
      </c>
      <c r="L268" s="184" t="str">
        <f t="shared" ref="L268" si="734">H268</f>
        <v>№589</v>
      </c>
      <c r="M268" s="191">
        <f t="shared" ref="M268" si="735">(J268-F268)*24</f>
        <v>1.2000000000698492</v>
      </c>
      <c r="N268" s="61"/>
      <c r="P268" s="169" t="s">
        <v>561</v>
      </c>
      <c r="Q268" s="185">
        <f t="shared" ref="Q268" si="736">(F268-P268)*24</f>
        <v>10.200000000069849</v>
      </c>
      <c r="R268" s="192">
        <f>Q268-1</f>
        <v>9.2000000000698492</v>
      </c>
    </row>
    <row r="269" spans="1:18" s="62" customFormat="1" ht="18" customHeight="1" thickBot="1">
      <c r="A269" s="486">
        <v>3</v>
      </c>
      <c r="B269" s="190">
        <v>1644</v>
      </c>
      <c r="C269" s="490"/>
      <c r="D269" s="495"/>
      <c r="E269" s="489"/>
      <c r="F269" s="169" t="s">
        <v>916</v>
      </c>
      <c r="G269" s="193" t="str">
        <f t="shared" ref="G269" si="737">RIGHT(F269,5)</f>
        <v>02:58</v>
      </c>
      <c r="H269" s="243" t="s">
        <v>950</v>
      </c>
      <c r="I269" s="184" t="s">
        <v>15</v>
      </c>
      <c r="J269" s="169" t="s">
        <v>917</v>
      </c>
      <c r="K269" s="193" t="str">
        <f t="shared" ref="K269" si="738">RIGHT(J269,5)</f>
        <v>04:08</v>
      </c>
      <c r="L269" s="184" t="str">
        <f t="shared" ref="L269" si="739">H269</f>
        <v>№666</v>
      </c>
      <c r="M269" s="191">
        <f t="shared" ref="M269" si="740">(J269-F269)*24</f>
        <v>1.1666666666278616</v>
      </c>
      <c r="N269" s="61"/>
      <c r="P269" s="169" t="s">
        <v>915</v>
      </c>
      <c r="Q269" s="185">
        <f t="shared" ref="Q269" si="741">(F269-P269)*24</f>
        <v>7.8166666666511446</v>
      </c>
      <c r="R269" s="192">
        <f>Q269-1</f>
        <v>6.8166666666511446</v>
      </c>
    </row>
    <row r="270" spans="1:18" s="62" customFormat="1" ht="18" customHeight="1" thickBot="1">
      <c r="A270" s="123" t="s">
        <v>16</v>
      </c>
      <c r="B270" s="124"/>
      <c r="C270" s="166">
        <f>Пробеги!E124</f>
        <v>11328</v>
      </c>
      <c r="D270" s="167">
        <f>C270*2</f>
        <v>22656</v>
      </c>
      <c r="E270" s="168">
        <f>DAY(EOMONTH($S$427,0))*24-M270-R270</f>
        <v>721.68333333323244</v>
      </c>
      <c r="F270" s="109"/>
      <c r="G270" s="108"/>
      <c r="H270" s="107"/>
      <c r="I270" s="107"/>
      <c r="J270" s="107"/>
      <c r="K270" s="107"/>
      <c r="L270" s="107"/>
      <c r="M270" s="168">
        <f>SUM(M267:M269)</f>
        <v>3.7333333334536292</v>
      </c>
      <c r="N270" s="61"/>
      <c r="P270" s="171"/>
      <c r="Q270" s="170">
        <f>SUM(Q267:Q269)</f>
        <v>21.583333333313931</v>
      </c>
      <c r="R270" s="170">
        <f>SUM(R267:R269)</f>
        <v>18.583333333313931</v>
      </c>
    </row>
    <row r="271" spans="1:18" s="62" customFormat="1" ht="18" customHeight="1">
      <c r="A271" s="189">
        <v>1</v>
      </c>
      <c r="B271" s="190">
        <v>1645</v>
      </c>
      <c r="C271" s="208"/>
      <c r="D271" s="209"/>
      <c r="E271" s="210"/>
      <c r="F271" s="169" t="s">
        <v>268</v>
      </c>
      <c r="G271" s="193" t="str">
        <f t="shared" ref="G271" si="742">RIGHT(F271,5)</f>
        <v>11:35</v>
      </c>
      <c r="H271" s="243" t="s">
        <v>309</v>
      </c>
      <c r="I271" s="184" t="s">
        <v>15</v>
      </c>
      <c r="J271" s="169" t="s">
        <v>269</v>
      </c>
      <c r="K271" s="193" t="str">
        <f t="shared" ref="K271" si="743">RIGHT(J271,5)</f>
        <v>12:41</v>
      </c>
      <c r="L271" s="184" t="str">
        <f t="shared" ref="L271" si="744">H271</f>
        <v>№507</v>
      </c>
      <c r="M271" s="191">
        <f t="shared" ref="M271" si="745">(J271-F271)*24</f>
        <v>1.0999999999185093</v>
      </c>
      <c r="N271" s="61"/>
      <c r="P271" s="169" t="s">
        <v>267</v>
      </c>
      <c r="Q271" s="185">
        <f t="shared" ref="Q271" si="746">(F271-P271)*24</f>
        <v>2.1666666667442769</v>
      </c>
      <c r="R271" s="192">
        <f>Q271-1</f>
        <v>1.1666666667442769</v>
      </c>
    </row>
    <row r="272" spans="1:18" s="62" customFormat="1" ht="18" customHeight="1">
      <c r="A272" s="370">
        <v>2</v>
      </c>
      <c r="B272" s="190">
        <v>1645</v>
      </c>
      <c r="C272" s="366"/>
      <c r="D272" s="375"/>
      <c r="E272" s="367"/>
      <c r="F272" s="169" t="s">
        <v>462</v>
      </c>
      <c r="G272" s="193" t="str">
        <f t="shared" ref="G272" si="747">RIGHT(F272,5)</f>
        <v>10:04</v>
      </c>
      <c r="H272" s="243" t="s">
        <v>541</v>
      </c>
      <c r="I272" s="184" t="s">
        <v>15</v>
      </c>
      <c r="J272" s="169" t="s">
        <v>463</v>
      </c>
      <c r="K272" s="193" t="str">
        <f t="shared" ref="K272" si="748">RIGHT(J272,5)</f>
        <v>11:09</v>
      </c>
      <c r="L272" s="184" t="str">
        <f t="shared" ref="L272" si="749">H272</f>
        <v>№564</v>
      </c>
      <c r="M272" s="191">
        <f t="shared" ref="M272" si="750">(J272-F272)*24</f>
        <v>1.0833333333721384</v>
      </c>
      <c r="N272" s="61"/>
      <c r="P272" s="169" t="s">
        <v>461</v>
      </c>
      <c r="Q272" s="185">
        <f t="shared" ref="Q272" si="751">(F272-P272)*24</f>
        <v>4.3666666665812954</v>
      </c>
      <c r="R272" s="192">
        <f>Q272-1</f>
        <v>3.3666666665812954</v>
      </c>
    </row>
    <row r="273" spans="1:18" s="62" customFormat="1" ht="18" customHeight="1" thickBot="1">
      <c r="A273" s="470">
        <v>3</v>
      </c>
      <c r="B273" s="190">
        <v>1645</v>
      </c>
      <c r="C273" s="471"/>
      <c r="D273" s="472"/>
      <c r="E273" s="473"/>
      <c r="F273" s="169" t="s">
        <v>795</v>
      </c>
      <c r="G273" s="193" t="str">
        <f t="shared" ref="G273" si="752">RIGHT(F273,5)</f>
        <v>16:14</v>
      </c>
      <c r="H273" s="243" t="s">
        <v>809</v>
      </c>
      <c r="I273" s="184" t="s">
        <v>15</v>
      </c>
      <c r="J273" s="169" t="s">
        <v>796</v>
      </c>
      <c r="K273" s="193" t="str">
        <f t="shared" ref="K273" si="753">RIGHT(J273,5)</f>
        <v>17:26</v>
      </c>
      <c r="L273" s="184" t="str">
        <f t="shared" ref="L273" si="754">H273</f>
        <v>№639</v>
      </c>
      <c r="M273" s="191">
        <f t="shared" ref="M273" si="755">(J273-F273)*24</f>
        <v>1.2000000000698492</v>
      </c>
      <c r="N273" s="61"/>
      <c r="P273" s="169" t="s">
        <v>794</v>
      </c>
      <c r="Q273" s="185">
        <f t="shared" ref="Q273" si="756">(F273-P273)*24</f>
        <v>3.3333333267364651E-2</v>
      </c>
      <c r="R273" s="192">
        <f>Q273-Q273</f>
        <v>0</v>
      </c>
    </row>
    <row r="274" spans="1:18" s="62" customFormat="1" ht="18" customHeight="1" thickBot="1">
      <c r="A274" s="123" t="s">
        <v>16</v>
      </c>
      <c r="B274" s="124"/>
      <c r="C274" s="166">
        <f>Пробеги!E126</f>
        <v>13858</v>
      </c>
      <c r="D274" s="167">
        <f>C274*2</f>
        <v>27716</v>
      </c>
      <c r="E274" s="168">
        <f>DAY(EOMONTH($S$427,0))*24-M274-R274</f>
        <v>736.08333333331393</v>
      </c>
      <c r="F274" s="109"/>
      <c r="G274" s="108"/>
      <c r="H274" s="107"/>
      <c r="I274" s="107"/>
      <c r="J274" s="107"/>
      <c r="K274" s="107"/>
      <c r="L274" s="107"/>
      <c r="M274" s="168">
        <f>SUM(M271:M273)</f>
        <v>3.3833333333604969</v>
      </c>
      <c r="N274" s="61"/>
      <c r="P274" s="171"/>
      <c r="Q274" s="170">
        <f>SUM(Q271:Q273)</f>
        <v>6.566666666592937</v>
      </c>
      <c r="R274" s="170">
        <f>SUM(R271:R273)</f>
        <v>4.5333333333255723</v>
      </c>
    </row>
    <row r="275" spans="1:18" s="62" customFormat="1" ht="18" customHeight="1">
      <c r="A275" s="299">
        <v>1</v>
      </c>
      <c r="B275" s="190">
        <v>1646</v>
      </c>
      <c r="C275" s="300"/>
      <c r="D275" s="301"/>
      <c r="E275" s="302"/>
      <c r="F275" s="169" t="s">
        <v>271</v>
      </c>
      <c r="G275" s="193" t="str">
        <f t="shared" ref="G275" si="757">RIGHT(F275,5)</f>
        <v>01:36</v>
      </c>
      <c r="H275" s="243" t="s">
        <v>406</v>
      </c>
      <c r="I275" s="184" t="s">
        <v>15</v>
      </c>
      <c r="J275" s="169" t="s">
        <v>272</v>
      </c>
      <c r="K275" s="193" t="str">
        <f t="shared" ref="K275" si="758">RIGHT(J275,5)</f>
        <v>02:48</v>
      </c>
      <c r="L275" s="184" t="str">
        <f t="shared" ref="L275" si="759">H275</f>
        <v>№531</v>
      </c>
      <c r="M275" s="191">
        <f t="shared" ref="M275" si="760">(J275-F275)*24</f>
        <v>1.2000000000698492</v>
      </c>
      <c r="N275" s="61"/>
      <c r="P275" s="169" t="s">
        <v>270</v>
      </c>
      <c r="Q275" s="185">
        <f t="shared" ref="Q275" si="761">(F275-P275)*24</f>
        <v>0.73333333327900618</v>
      </c>
      <c r="R275" s="192">
        <f>Q275-Q275</f>
        <v>0</v>
      </c>
    </row>
    <row r="276" spans="1:18" s="62" customFormat="1" ht="18" customHeight="1">
      <c r="A276" s="445">
        <v>2</v>
      </c>
      <c r="B276" s="190">
        <v>1646</v>
      </c>
      <c r="C276" s="443"/>
      <c r="D276" s="446"/>
      <c r="E276" s="444"/>
      <c r="F276" s="169" t="s">
        <v>674</v>
      </c>
      <c r="G276" s="193" t="str">
        <f t="shared" ref="G276" si="762">RIGHT(F276,5)</f>
        <v>18:35</v>
      </c>
      <c r="H276" s="243" t="s">
        <v>733</v>
      </c>
      <c r="I276" s="184" t="s">
        <v>15</v>
      </c>
      <c r="J276" s="169" t="s">
        <v>675</v>
      </c>
      <c r="K276" s="193" t="str">
        <f t="shared" ref="K276" si="763">RIGHT(J276,5)</f>
        <v>19:56</v>
      </c>
      <c r="L276" s="184" t="str">
        <f t="shared" ref="L276" si="764">H276</f>
        <v>№608</v>
      </c>
      <c r="M276" s="191">
        <f t="shared" ref="M276" si="765">(J276-F276)*24</f>
        <v>1.3500000000349246</v>
      </c>
      <c r="N276" s="61"/>
      <c r="P276" s="169" t="s">
        <v>562</v>
      </c>
      <c r="Q276" s="185">
        <f t="shared" ref="Q276" si="766">(F276-P276)*24</f>
        <v>63.216666666674428</v>
      </c>
      <c r="R276" s="192">
        <v>0</v>
      </c>
    </row>
    <row r="277" spans="1:18" s="62" customFormat="1" ht="18" customHeight="1" thickBot="1">
      <c r="A277" s="500">
        <v>3</v>
      </c>
      <c r="B277" s="190">
        <v>1646</v>
      </c>
      <c r="C277" s="498"/>
      <c r="D277" s="501"/>
      <c r="E277" s="499"/>
      <c r="F277" s="169" t="s">
        <v>977</v>
      </c>
      <c r="G277" s="193" t="str">
        <f t="shared" ref="G277" si="767">RIGHT(F277,5)</f>
        <v>11:12</v>
      </c>
      <c r="H277" s="243" t="s">
        <v>986</v>
      </c>
      <c r="I277" s="184" t="s">
        <v>15</v>
      </c>
      <c r="J277" s="169" t="s">
        <v>978</v>
      </c>
      <c r="K277" s="193" t="str">
        <f t="shared" ref="K277" si="768">RIGHT(J277,5)</f>
        <v>12:13</v>
      </c>
      <c r="L277" s="184" t="str">
        <f t="shared" ref="L277" si="769">H277</f>
        <v>№676</v>
      </c>
      <c r="M277" s="191">
        <f t="shared" ref="M277" si="770">(J277-F277)*24</f>
        <v>1.0166666666627862</v>
      </c>
      <c r="N277" s="61"/>
      <c r="P277" s="169" t="s">
        <v>976</v>
      </c>
      <c r="Q277" s="185">
        <f t="shared" ref="Q277" si="771">(F277-P277)*24</f>
        <v>0.2333333333954215</v>
      </c>
      <c r="R277" s="192">
        <f>Q277-Q277</f>
        <v>0</v>
      </c>
    </row>
    <row r="278" spans="1:18" s="62" customFormat="1" ht="18" customHeight="1" thickBot="1">
      <c r="A278" s="312" t="s">
        <v>16</v>
      </c>
      <c r="B278" s="313"/>
      <c r="C278" s="314">
        <f>Пробеги!E128</f>
        <v>13554</v>
      </c>
      <c r="D278" s="315">
        <f>C278*2</f>
        <v>27108</v>
      </c>
      <c r="E278" s="316">
        <f>DAY(EOMONTH($S$427,0))*24-M278-R278</f>
        <v>740.43333333323244</v>
      </c>
      <c r="F278" s="178"/>
      <c r="G278" s="176"/>
      <c r="H278" s="177"/>
      <c r="I278" s="177"/>
      <c r="J278" s="177"/>
      <c r="K278" s="177"/>
      <c r="L278" s="177"/>
      <c r="M278" s="316">
        <f>SUM(M275:M277)</f>
        <v>3.5666666667675599</v>
      </c>
      <c r="N278" s="61"/>
      <c r="P278" s="241"/>
      <c r="Q278" s="242">
        <f>SUM(Q275:Q277)</f>
        <v>64.183333333348855</v>
      </c>
      <c r="R278" s="242">
        <f>SUM(R275:R277)</f>
        <v>0</v>
      </c>
    </row>
    <row r="279" spans="1:18" s="62" customFormat="1" ht="18" customHeight="1">
      <c r="A279" s="87"/>
      <c r="B279" s="84"/>
      <c r="C279" s="84"/>
      <c r="D279" s="88"/>
      <c r="E279" s="89"/>
      <c r="F279" s="83"/>
      <c r="G279" s="85"/>
      <c r="H279" s="84"/>
      <c r="I279" s="84"/>
      <c r="J279" s="84"/>
      <c r="K279" s="84"/>
      <c r="L279" s="84"/>
      <c r="M279" s="89"/>
      <c r="N279" s="61"/>
      <c r="P279" s="90"/>
      <c r="Q279" s="91"/>
      <c r="R279" s="91"/>
    </row>
    <row r="280" spans="1:18" s="62" customFormat="1" ht="18" customHeight="1">
      <c r="A280" s="87"/>
      <c r="B280" s="84"/>
      <c r="C280" s="84"/>
      <c r="D280" s="88"/>
      <c r="E280" s="89"/>
      <c r="F280" s="83"/>
      <c r="G280" s="85"/>
      <c r="H280" s="84"/>
      <c r="I280" s="84"/>
      <c r="J280" s="84"/>
      <c r="K280" s="84"/>
      <c r="L280" s="580" t="s">
        <v>1208</v>
      </c>
      <c r="M280" s="580"/>
      <c r="N280" s="61"/>
      <c r="P280" s="90"/>
      <c r="Q280" s="91"/>
      <c r="R280" s="91"/>
    </row>
    <row r="281" spans="1:18" s="62" customFormat="1" ht="18" customHeight="1">
      <c r="A281" s="263">
        <v>1</v>
      </c>
      <c r="B281" s="264">
        <v>1647</v>
      </c>
      <c r="C281" s="265"/>
      <c r="D281" s="266"/>
      <c r="E281" s="267"/>
      <c r="F281" s="169" t="s">
        <v>152</v>
      </c>
      <c r="G281" s="193" t="str">
        <f t="shared" ref="G281" si="772">RIGHT(F281,5)</f>
        <v>04:50</v>
      </c>
      <c r="H281" s="243" t="s">
        <v>310</v>
      </c>
      <c r="I281" s="184" t="s">
        <v>15</v>
      </c>
      <c r="J281" s="169" t="s">
        <v>153</v>
      </c>
      <c r="K281" s="193" t="str">
        <f t="shared" ref="K281" si="773">RIGHT(J281,5)</f>
        <v>05:57</v>
      </c>
      <c r="L281" s="184" t="str">
        <f t="shared" ref="L281" si="774">H281</f>
        <v>№494</v>
      </c>
      <c r="M281" s="191">
        <f t="shared" ref="M281" si="775">(J281-F281)*24</f>
        <v>1.1166666666395031</v>
      </c>
      <c r="N281" s="61"/>
      <c r="P281" s="169" t="s">
        <v>151</v>
      </c>
      <c r="Q281" s="185">
        <f t="shared" ref="Q281" si="776">(F281-P281)*24</f>
        <v>2.0000000000582077</v>
      </c>
      <c r="R281" s="192">
        <f>Q281-1</f>
        <v>1.0000000000582077</v>
      </c>
    </row>
    <row r="282" spans="1:18" s="62" customFormat="1" ht="18" customHeight="1">
      <c r="A282" s="370">
        <v>2</v>
      </c>
      <c r="B282" s="264">
        <v>1647</v>
      </c>
      <c r="C282" s="366"/>
      <c r="D282" s="375"/>
      <c r="E282" s="367"/>
      <c r="F282" s="169" t="s">
        <v>465</v>
      </c>
      <c r="G282" s="193" t="str">
        <f t="shared" ref="G282" si="777">RIGHT(F282,5)</f>
        <v>15:24</v>
      </c>
      <c r="H282" s="243" t="s">
        <v>490</v>
      </c>
      <c r="I282" s="184" t="s">
        <v>15</v>
      </c>
      <c r="J282" s="169" t="s">
        <v>466</v>
      </c>
      <c r="K282" s="193" t="str">
        <f t="shared" ref="K282" si="778">RIGHT(J282,5)</f>
        <v>16:34</v>
      </c>
      <c r="L282" s="184" t="str">
        <f t="shared" ref="L282" si="779">H282</f>
        <v>№560</v>
      </c>
      <c r="M282" s="191">
        <f t="shared" ref="M282" si="780">(J282-F282)*24</f>
        <v>1.1666666666278616</v>
      </c>
      <c r="N282" s="61"/>
      <c r="P282" s="169" t="s">
        <v>464</v>
      </c>
      <c r="Q282" s="185">
        <f t="shared" ref="Q282" si="781">(F282-P282)*24</f>
        <v>0.16666666668606922</v>
      </c>
      <c r="R282" s="192">
        <f>Q282-Q282</f>
        <v>0</v>
      </c>
    </row>
    <row r="283" spans="1:18" s="62" customFormat="1" ht="18" customHeight="1" thickBot="1">
      <c r="A283" s="451">
        <v>3</v>
      </c>
      <c r="B283" s="264">
        <v>1647</v>
      </c>
      <c r="C283" s="449"/>
      <c r="D283" s="463"/>
      <c r="E283" s="450"/>
      <c r="F283" s="169" t="s">
        <v>677</v>
      </c>
      <c r="G283" s="193" t="str">
        <f t="shared" ref="G283" si="782">RIGHT(F283,5)</f>
        <v>05:31</v>
      </c>
      <c r="H283" s="243" t="s">
        <v>734</v>
      </c>
      <c r="I283" s="184" t="s">
        <v>15</v>
      </c>
      <c r="J283" s="169" t="s">
        <v>678</v>
      </c>
      <c r="K283" s="193" t="str">
        <f t="shared" ref="K283" si="783">RIGHT(J283,5)</f>
        <v>06:36</v>
      </c>
      <c r="L283" s="184" t="str">
        <f t="shared" ref="L283" si="784">H283</f>
        <v>№630</v>
      </c>
      <c r="M283" s="191">
        <f t="shared" ref="M283" si="785">(J283-F283)*24</f>
        <v>1.0833333333721384</v>
      </c>
      <c r="N283" s="61"/>
      <c r="P283" s="169" t="s">
        <v>676</v>
      </c>
      <c r="Q283" s="185">
        <f t="shared" ref="Q283" si="786">(F283-P283)*24</f>
        <v>1.5333333332673647</v>
      </c>
      <c r="R283" s="192">
        <f>Q283-1</f>
        <v>0.53333333326736465</v>
      </c>
    </row>
    <row r="284" spans="1:18" s="62" customFormat="1" ht="18" customHeight="1" thickBot="1">
      <c r="A284" s="123" t="s">
        <v>16</v>
      </c>
      <c r="B284" s="124"/>
      <c r="C284" s="166">
        <f>Пробеги!E130</f>
        <v>13233</v>
      </c>
      <c r="D284" s="167">
        <f>C284*2</f>
        <v>26466</v>
      </c>
      <c r="E284" s="168">
        <f>DAY(EOMONTH($S$427,0))*24-M284-R284</f>
        <v>739.10000000003492</v>
      </c>
      <c r="F284" s="109"/>
      <c r="G284" s="108"/>
      <c r="H284" s="107"/>
      <c r="I284" s="107"/>
      <c r="J284" s="107"/>
      <c r="K284" s="107"/>
      <c r="L284" s="107"/>
      <c r="M284" s="168">
        <f>SUM(M281:M283)</f>
        <v>3.3666666666395031</v>
      </c>
      <c r="N284" s="61"/>
      <c r="P284" s="171"/>
      <c r="Q284" s="170">
        <f>SUM(Q281:Q283)</f>
        <v>3.7000000000116415</v>
      </c>
      <c r="R284" s="170">
        <f>SUM(R281:R283)</f>
        <v>1.5333333333255723</v>
      </c>
    </row>
    <row r="285" spans="1:18" s="62" customFormat="1" ht="18" customHeight="1">
      <c r="A285" s="201">
        <v>1</v>
      </c>
      <c r="B285" s="190">
        <v>1648</v>
      </c>
      <c r="C285" s="202"/>
      <c r="D285" s="203"/>
      <c r="E285" s="204"/>
      <c r="F285" s="169" t="s">
        <v>83</v>
      </c>
      <c r="G285" s="193" t="str">
        <f t="shared" ref="G285" si="787">RIGHT(F285,5)</f>
        <v>01:39</v>
      </c>
      <c r="H285" s="243" t="s">
        <v>127</v>
      </c>
      <c r="I285" s="184" t="s">
        <v>15</v>
      </c>
      <c r="J285" s="169" t="s">
        <v>84</v>
      </c>
      <c r="K285" s="193" t="str">
        <f t="shared" ref="K285" si="788">RIGHT(J285,5)</f>
        <v>02:55</v>
      </c>
      <c r="L285" s="184" t="str">
        <f t="shared" ref="L285" si="789">H285</f>
        <v>№473</v>
      </c>
      <c r="M285" s="191">
        <f t="shared" ref="M285" si="790">(J285-F285)*24</f>
        <v>1.2666666667792015</v>
      </c>
      <c r="N285" s="61"/>
      <c r="P285" s="169" t="s">
        <v>82</v>
      </c>
      <c r="Q285" s="185">
        <f t="shared" ref="Q285" si="791">(F285-P285)*24</f>
        <v>4.7333333332207985</v>
      </c>
      <c r="R285" s="192">
        <f>Q285-1</f>
        <v>3.7333333332207985</v>
      </c>
    </row>
    <row r="286" spans="1:18" s="62" customFormat="1" ht="18" customHeight="1">
      <c r="A286" s="337">
        <v>2</v>
      </c>
      <c r="B286" s="190">
        <v>1648</v>
      </c>
      <c r="C286" s="335"/>
      <c r="D286" s="338"/>
      <c r="E286" s="336"/>
      <c r="F286" s="169" t="s">
        <v>367</v>
      </c>
      <c r="G286" s="193" t="str">
        <f t="shared" ref="G286:G287" si="792">RIGHT(F286,5)</f>
        <v>08:36</v>
      </c>
      <c r="H286" s="243" t="s">
        <v>407</v>
      </c>
      <c r="I286" s="184" t="s">
        <v>15</v>
      </c>
      <c r="J286" s="169" t="s">
        <v>368</v>
      </c>
      <c r="K286" s="193" t="str">
        <f t="shared" ref="K286:K287" si="793">RIGHT(J286,5)</f>
        <v>09:46</v>
      </c>
      <c r="L286" s="184" t="str">
        <f t="shared" ref="L286:L287" si="794">H286</f>
        <v>№541</v>
      </c>
      <c r="M286" s="191">
        <f t="shared" ref="M286:M287" si="795">(J286-F286)*24</f>
        <v>1.1666666668024845</v>
      </c>
      <c r="N286" s="61"/>
      <c r="P286" s="169" t="s">
        <v>339</v>
      </c>
      <c r="Q286" s="185">
        <f t="shared" ref="Q286:Q287" si="796">(F286-P286)*24</f>
        <v>1.7999999999301508</v>
      </c>
      <c r="R286" s="192">
        <f>Q286-1</f>
        <v>0.79999999993015081</v>
      </c>
    </row>
    <row r="287" spans="1:18" s="62" customFormat="1" ht="18" customHeight="1">
      <c r="A287" s="451">
        <v>3</v>
      </c>
      <c r="B287" s="190">
        <v>1648</v>
      </c>
      <c r="C287" s="449"/>
      <c r="D287" s="463"/>
      <c r="E287" s="450"/>
      <c r="F287" s="169" t="s">
        <v>680</v>
      </c>
      <c r="G287" s="193" t="str">
        <f t="shared" si="792"/>
        <v>01:10</v>
      </c>
      <c r="H287" s="243" t="s">
        <v>739</v>
      </c>
      <c r="I287" s="184" t="s">
        <v>51</v>
      </c>
      <c r="J287" s="169" t="s">
        <v>681</v>
      </c>
      <c r="K287" s="193" t="str">
        <f t="shared" si="793"/>
        <v>01:29</v>
      </c>
      <c r="L287" s="184" t="str">
        <f t="shared" si="794"/>
        <v>№248</v>
      </c>
      <c r="M287" s="191">
        <f t="shared" si="795"/>
        <v>0.31666666665114462</v>
      </c>
      <c r="N287" s="61"/>
      <c r="P287" s="169" t="s">
        <v>679</v>
      </c>
      <c r="Q287" s="185">
        <f t="shared" si="796"/>
        <v>0.31666666665114462</v>
      </c>
      <c r="R287" s="192">
        <f>Q287</f>
        <v>0.31666666665114462</v>
      </c>
    </row>
    <row r="288" spans="1:18" s="62" customFormat="1" ht="18" customHeight="1" thickBot="1">
      <c r="A288" s="451">
        <v>4</v>
      </c>
      <c r="B288" s="190">
        <v>1648</v>
      </c>
      <c r="C288" s="449"/>
      <c r="D288" s="463"/>
      <c r="E288" s="450"/>
      <c r="F288" s="169" t="s">
        <v>683</v>
      </c>
      <c r="G288" s="193" t="str">
        <f t="shared" ref="G288" si="797">RIGHT(F288,5)</f>
        <v>01:15</v>
      </c>
      <c r="H288" s="243" t="s">
        <v>735</v>
      </c>
      <c r="I288" s="184" t="s">
        <v>15</v>
      </c>
      <c r="J288" s="169" t="s">
        <v>684</v>
      </c>
      <c r="K288" s="193" t="str">
        <f t="shared" ref="K288" si="798">RIGHT(J288,5)</f>
        <v>02:25</v>
      </c>
      <c r="L288" s="184" t="str">
        <f t="shared" ref="L288" si="799">H288</f>
        <v>№611</v>
      </c>
      <c r="M288" s="191">
        <f t="shared" ref="M288" si="800">(J288-F288)*24</f>
        <v>1.1666666666278616</v>
      </c>
      <c r="N288" s="61"/>
      <c r="P288" s="169" t="s">
        <v>682</v>
      </c>
      <c r="Q288" s="185">
        <f t="shared" ref="Q288" si="801">(F288-P288)*24</f>
        <v>1.5333333334419876</v>
      </c>
      <c r="R288" s="192">
        <f>Q288-1</f>
        <v>0.53333333344198763</v>
      </c>
    </row>
    <row r="289" spans="1:18" s="62" customFormat="1" ht="18" customHeight="1" thickBot="1">
      <c r="A289" s="123" t="s">
        <v>16</v>
      </c>
      <c r="B289" s="124"/>
      <c r="C289" s="166">
        <f>Пробеги!E132</f>
        <v>15613</v>
      </c>
      <c r="D289" s="167">
        <f>C289*2</f>
        <v>31226</v>
      </c>
      <c r="E289" s="168">
        <f>DAY(EOMONTH($S$427,0))*24-M289-R289</f>
        <v>734.69999999989523</v>
      </c>
      <c r="F289" s="109"/>
      <c r="G289" s="108"/>
      <c r="H289" s="107"/>
      <c r="I289" s="107"/>
      <c r="J289" s="107"/>
      <c r="K289" s="107"/>
      <c r="L289" s="107"/>
      <c r="M289" s="168">
        <f>SUM(M285:M288)</f>
        <v>3.9166666668606922</v>
      </c>
      <c r="N289" s="61"/>
      <c r="P289" s="171"/>
      <c r="Q289" s="170">
        <f>SUM(Q285:Q288)</f>
        <v>8.3833333332440816</v>
      </c>
      <c r="R289" s="170">
        <f>SUM(R285:R288)</f>
        <v>5.3833333332440816</v>
      </c>
    </row>
    <row r="290" spans="1:18" s="62" customFormat="1" ht="18" customHeight="1">
      <c r="A290" s="189">
        <v>1</v>
      </c>
      <c r="B290" s="190">
        <v>1649</v>
      </c>
      <c r="C290" s="208"/>
      <c r="D290" s="209"/>
      <c r="E290" s="210"/>
      <c r="F290" s="169" t="s">
        <v>184</v>
      </c>
      <c r="G290" s="193" t="str">
        <f t="shared" ref="G290" si="802">RIGHT(F290,5)</f>
        <v>23:30</v>
      </c>
      <c r="H290" s="243" t="s">
        <v>311</v>
      </c>
      <c r="I290" s="184" t="s">
        <v>15</v>
      </c>
      <c r="J290" s="169" t="s">
        <v>185</v>
      </c>
      <c r="K290" s="193" t="str">
        <f t="shared" ref="K290" si="803">RIGHT(J290,5)</f>
        <v>00:50</v>
      </c>
      <c r="L290" s="184" t="str">
        <f t="shared" ref="L290" si="804">H290</f>
        <v>№501</v>
      </c>
      <c r="M290" s="191">
        <f t="shared" ref="M290" si="805">(J290-F290)*24</f>
        <v>1.3333333333139308</v>
      </c>
      <c r="N290" s="61"/>
      <c r="P290" s="169" t="s">
        <v>183</v>
      </c>
      <c r="Q290" s="185">
        <f t="shared" ref="Q290" si="806">(F290-P290)*24</f>
        <v>2.6833333333488554</v>
      </c>
      <c r="R290" s="192">
        <f>Q290-1</f>
        <v>1.6833333333488554</v>
      </c>
    </row>
    <row r="291" spans="1:18" s="62" customFormat="1" ht="18" customHeight="1">
      <c r="A291" s="410">
        <v>2</v>
      </c>
      <c r="B291" s="190">
        <v>1649</v>
      </c>
      <c r="C291" s="408"/>
      <c r="D291" s="411"/>
      <c r="E291" s="409"/>
      <c r="F291" s="169" t="s">
        <v>517</v>
      </c>
      <c r="G291" s="193" t="str">
        <f t="shared" ref="G291" si="807">RIGHT(F291,5)</f>
        <v>10:10</v>
      </c>
      <c r="H291" s="243" t="s">
        <v>524</v>
      </c>
      <c r="I291" s="184" t="s">
        <v>15</v>
      </c>
      <c r="J291" s="169" t="s">
        <v>518</v>
      </c>
      <c r="K291" s="193" t="str">
        <f t="shared" ref="K291" si="808">RIGHT(J291,5)</f>
        <v>11:20</v>
      </c>
      <c r="L291" s="184" t="str">
        <f t="shared" ref="L291" si="809">H291</f>
        <v>№573</v>
      </c>
      <c r="M291" s="191">
        <f t="shared" ref="M291" si="810">(J291-F291)*24</f>
        <v>1.1666666666278616</v>
      </c>
      <c r="N291" s="61"/>
      <c r="P291" s="169" t="s">
        <v>516</v>
      </c>
      <c r="Q291" s="185">
        <f t="shared" ref="Q291" si="811">(F291-P291)*24</f>
        <v>1.9833333333372138</v>
      </c>
      <c r="R291" s="192">
        <f>Q291-1</f>
        <v>0.98333333333721384</v>
      </c>
    </row>
    <row r="292" spans="1:18" s="62" customFormat="1" ht="18" customHeight="1" thickBot="1">
      <c r="A292" s="470">
        <v>3</v>
      </c>
      <c r="B292" s="190">
        <v>1649</v>
      </c>
      <c r="C292" s="471"/>
      <c r="D292" s="472"/>
      <c r="E292" s="473"/>
      <c r="F292" s="169" t="s">
        <v>798</v>
      </c>
      <c r="G292" s="193" t="str">
        <f t="shared" ref="G292" si="812">RIGHT(F292,5)</f>
        <v>23:11</v>
      </c>
      <c r="H292" s="243" t="s">
        <v>812</v>
      </c>
      <c r="I292" s="184" t="s">
        <v>15</v>
      </c>
      <c r="J292" s="169" t="s">
        <v>799</v>
      </c>
      <c r="K292" s="193" t="str">
        <f t="shared" ref="K292" si="813">RIGHT(J292,5)</f>
        <v>00:20</v>
      </c>
      <c r="L292" s="184" t="str">
        <f t="shared" ref="L292" si="814">H292</f>
        <v>№642</v>
      </c>
      <c r="M292" s="191">
        <f t="shared" ref="M292" si="815">(J292-F292)*24</f>
        <v>1.1500000000814907</v>
      </c>
      <c r="N292" s="61"/>
      <c r="P292" s="169" t="s">
        <v>797</v>
      </c>
      <c r="Q292" s="185">
        <f t="shared" ref="Q292" si="816">(F292-P292)*24</f>
        <v>4.4666666665580124</v>
      </c>
      <c r="R292" s="192">
        <f>Q292-1</f>
        <v>3.4666666665580124</v>
      </c>
    </row>
    <row r="293" spans="1:18" s="62" customFormat="1" ht="18" customHeight="1" thickBot="1">
      <c r="A293" s="123" t="s">
        <v>16</v>
      </c>
      <c r="B293" s="124"/>
      <c r="C293" s="166">
        <f>Пробеги!E134</f>
        <v>14953</v>
      </c>
      <c r="D293" s="167">
        <f>C293*2</f>
        <v>29906</v>
      </c>
      <c r="E293" s="168">
        <f>DAY(EOMONTH($S$427,0))*24-M293-R293</f>
        <v>734.21666666673264</v>
      </c>
      <c r="F293" s="109"/>
      <c r="G293" s="108"/>
      <c r="H293" s="107"/>
      <c r="I293" s="107"/>
      <c r="J293" s="107"/>
      <c r="K293" s="107"/>
      <c r="L293" s="107"/>
      <c r="M293" s="168">
        <f>SUM(M290:M292)</f>
        <v>3.6500000000232831</v>
      </c>
      <c r="N293" s="61"/>
      <c r="P293" s="171"/>
      <c r="Q293" s="170">
        <f>SUM(Q290:Q292)</f>
        <v>9.1333333332440816</v>
      </c>
      <c r="R293" s="170">
        <f>SUM(R290:R292)</f>
        <v>6.1333333332440816</v>
      </c>
    </row>
    <row r="294" spans="1:18" s="62" customFormat="1" ht="18" customHeight="1">
      <c r="A294" s="317">
        <v>1</v>
      </c>
      <c r="B294" s="318">
        <v>1650</v>
      </c>
      <c r="C294" s="324"/>
      <c r="D294" s="325"/>
      <c r="E294" s="326"/>
      <c r="F294" s="169" t="s">
        <v>274</v>
      </c>
      <c r="G294" s="193" t="str">
        <f t="shared" ref="G294" si="817">RIGHT(F294,5)</f>
        <v>22:17</v>
      </c>
      <c r="H294" s="243" t="s">
        <v>312</v>
      </c>
      <c r="I294" s="184" t="s">
        <v>15</v>
      </c>
      <c r="J294" s="169" t="s">
        <v>275</v>
      </c>
      <c r="K294" s="193" t="str">
        <f t="shared" ref="K294" si="818">RIGHT(J294,5)</f>
        <v>23:19</v>
      </c>
      <c r="L294" s="184" t="str">
        <f t="shared" ref="L294" si="819">H294</f>
        <v>№518</v>
      </c>
      <c r="M294" s="191">
        <f t="shared" ref="M294" si="820">(J294-F294)*24</f>
        <v>1.03333333338378</v>
      </c>
      <c r="N294" s="61"/>
      <c r="P294" s="169" t="s">
        <v>273</v>
      </c>
      <c r="Q294" s="185">
        <f t="shared" ref="Q294" si="821">(F294-P294)*24</f>
        <v>3.9999999999417923</v>
      </c>
      <c r="R294" s="192">
        <f>Q294-1</f>
        <v>2.9999999999417923</v>
      </c>
    </row>
    <row r="295" spans="1:18" s="62" customFormat="1" ht="18" customHeight="1">
      <c r="A295" s="376">
        <v>2</v>
      </c>
      <c r="B295" s="318">
        <v>1650</v>
      </c>
      <c r="C295" s="377"/>
      <c r="D295" s="378"/>
      <c r="E295" s="379"/>
      <c r="F295" s="169" t="s">
        <v>472</v>
      </c>
      <c r="G295" s="193" t="str">
        <f t="shared" ref="G295" si="822">RIGHT(F295,5)</f>
        <v>15:53</v>
      </c>
      <c r="H295" s="243" t="s">
        <v>525</v>
      </c>
      <c r="I295" s="184" t="s">
        <v>15</v>
      </c>
      <c r="J295" s="169" t="s">
        <v>473</v>
      </c>
      <c r="K295" s="193" t="str">
        <f t="shared" ref="K295" si="823">RIGHT(J295,5)</f>
        <v>17:04</v>
      </c>
      <c r="L295" s="184" t="str">
        <f t="shared" ref="L295" si="824">H295</f>
        <v>№568</v>
      </c>
      <c r="M295" s="191">
        <f t="shared" ref="M295" si="825">(J295-F295)*24</f>
        <v>1.1833333331742324</v>
      </c>
      <c r="N295" s="61"/>
      <c r="P295" s="169" t="s">
        <v>471</v>
      </c>
      <c r="Q295" s="185">
        <f t="shared" ref="Q295" si="826">(F295-P295)*24</f>
        <v>2.3500000001513399</v>
      </c>
      <c r="R295" s="192">
        <f>Q295-1</f>
        <v>1.3500000001513399</v>
      </c>
    </row>
    <row r="296" spans="1:18" s="62" customFormat="1" ht="18" customHeight="1" thickBot="1">
      <c r="A296" s="474">
        <v>3</v>
      </c>
      <c r="B296" s="318">
        <v>1650</v>
      </c>
      <c r="C296" s="475"/>
      <c r="D296" s="476"/>
      <c r="E296" s="477"/>
      <c r="F296" s="169" t="s">
        <v>800</v>
      </c>
      <c r="G296" s="193" t="str">
        <f t="shared" ref="G296" si="827">RIGHT(F296,5)</f>
        <v>21:50</v>
      </c>
      <c r="H296" s="243" t="s">
        <v>813</v>
      </c>
      <c r="I296" s="184" t="s">
        <v>15</v>
      </c>
      <c r="J296" s="169" t="s">
        <v>801</v>
      </c>
      <c r="K296" s="193" t="str">
        <f t="shared" ref="K296" si="828">RIGHT(J296,5)</f>
        <v>23:10</v>
      </c>
      <c r="L296" s="184" t="str">
        <f t="shared" ref="L296" si="829">H296</f>
        <v>№641</v>
      </c>
      <c r="M296" s="191">
        <f t="shared" ref="M296" si="830">(J296-F296)*24</f>
        <v>1.3333333334885538</v>
      </c>
      <c r="N296" s="61"/>
      <c r="P296" s="169" t="s">
        <v>797</v>
      </c>
      <c r="Q296" s="185">
        <f t="shared" ref="Q296" si="831">(F296-P296)*24</f>
        <v>3.1166666665230878</v>
      </c>
      <c r="R296" s="192">
        <f>Q296-1</f>
        <v>2.1166666665230878</v>
      </c>
    </row>
    <row r="297" spans="1:18" s="62" customFormat="1" ht="18" customHeight="1" thickBot="1">
      <c r="A297" s="319" t="s">
        <v>16</v>
      </c>
      <c r="B297" s="320"/>
      <c r="C297" s="321">
        <f>Пробеги!E136</f>
        <v>13598</v>
      </c>
      <c r="D297" s="322">
        <f>C297*2</f>
        <v>27196</v>
      </c>
      <c r="E297" s="323">
        <f>DAY(EOMONTH($S$427,0))*24-M297-R297</f>
        <v>733.98333333333721</v>
      </c>
      <c r="F297" s="164"/>
      <c r="G297" s="160"/>
      <c r="H297" s="165"/>
      <c r="I297" s="165"/>
      <c r="J297" s="165"/>
      <c r="K297" s="165"/>
      <c r="L297" s="165"/>
      <c r="M297" s="323">
        <f>SUM(M294:M296)</f>
        <v>3.5500000000465661</v>
      </c>
      <c r="N297" s="61"/>
      <c r="P297" s="171"/>
      <c r="Q297" s="170">
        <f>SUM(Q294:Q296)</f>
        <v>9.46666666661622</v>
      </c>
      <c r="R297" s="170">
        <f>SUM(R294:R296)</f>
        <v>6.46666666661622</v>
      </c>
    </row>
    <row r="298" spans="1:18" s="62" customFormat="1" ht="18" customHeight="1">
      <c r="A298" s="253">
        <v>1</v>
      </c>
      <c r="B298" s="254">
        <v>1651</v>
      </c>
      <c r="C298" s="255"/>
      <c r="D298" s="256"/>
      <c r="E298" s="257"/>
      <c r="F298" s="169" t="s">
        <v>118</v>
      </c>
      <c r="G298" s="193" t="str">
        <f t="shared" ref="G298" si="832">RIGHT(F298,5)</f>
        <v>18:29</v>
      </c>
      <c r="H298" s="243" t="s">
        <v>313</v>
      </c>
      <c r="I298" s="184" t="s">
        <v>15</v>
      </c>
      <c r="J298" s="169" t="s">
        <v>119</v>
      </c>
      <c r="K298" s="193" t="str">
        <f t="shared" ref="K298" si="833">RIGHT(J298,5)</f>
        <v>19:39</v>
      </c>
      <c r="L298" s="184" t="str">
        <f t="shared" ref="L298" si="834">H298</f>
        <v>№482</v>
      </c>
      <c r="M298" s="191">
        <f t="shared" ref="M298" si="835">(J298-F298)*24</f>
        <v>1.1666666666278616</v>
      </c>
      <c r="N298" s="61"/>
      <c r="P298" s="169" t="s">
        <v>117</v>
      </c>
      <c r="Q298" s="185">
        <f t="shared" ref="Q298" si="836">(F298-P298)*24</f>
        <v>0.19999999995343387</v>
      </c>
      <c r="R298" s="192">
        <f>Q298-Q298</f>
        <v>0</v>
      </c>
    </row>
    <row r="299" spans="1:18" s="62" customFormat="1" ht="18" customHeight="1">
      <c r="A299" s="380">
        <v>2</v>
      </c>
      <c r="B299" s="254">
        <v>1651</v>
      </c>
      <c r="C299" s="381"/>
      <c r="D299" s="382"/>
      <c r="E299" s="383"/>
      <c r="F299" s="169" t="s">
        <v>475</v>
      </c>
      <c r="G299" s="193" t="str">
        <f t="shared" ref="G299" si="837">RIGHT(F299,5)</f>
        <v>21:13</v>
      </c>
      <c r="H299" s="243" t="s">
        <v>491</v>
      </c>
      <c r="I299" s="184" t="s">
        <v>15</v>
      </c>
      <c r="J299" s="169" t="s">
        <v>476</v>
      </c>
      <c r="K299" s="193" t="str">
        <f t="shared" ref="K299" si="838">RIGHT(J299,5)</f>
        <v>22:31</v>
      </c>
      <c r="L299" s="184" t="str">
        <f t="shared" ref="L299" si="839">H299</f>
        <v>№555</v>
      </c>
      <c r="M299" s="191">
        <f t="shared" ref="M299" si="840">(J299-F299)*24</f>
        <v>1.3000000000465661</v>
      </c>
      <c r="N299" s="61"/>
      <c r="P299" s="169" t="s">
        <v>474</v>
      </c>
      <c r="Q299" s="185">
        <f t="shared" ref="Q299" si="841">(F299-P299)*24</f>
        <v>1.5666666667093523</v>
      </c>
      <c r="R299" s="192">
        <f>Q299-1</f>
        <v>0.56666666670935228</v>
      </c>
    </row>
    <row r="300" spans="1:18" s="62" customFormat="1" ht="18" customHeight="1" thickBot="1">
      <c r="A300" s="380">
        <v>3</v>
      </c>
      <c r="B300" s="254">
        <v>1651</v>
      </c>
      <c r="C300" s="381"/>
      <c r="D300" s="382"/>
      <c r="E300" s="383"/>
      <c r="F300" s="169" t="s">
        <v>686</v>
      </c>
      <c r="G300" s="193" t="str">
        <f t="shared" ref="G300" si="842">RIGHT(F300,5)</f>
        <v>18:02</v>
      </c>
      <c r="H300" s="243" t="s">
        <v>713</v>
      </c>
      <c r="I300" s="184" t="s">
        <v>15</v>
      </c>
      <c r="J300" s="169" t="s">
        <v>687</v>
      </c>
      <c r="K300" s="193" t="str">
        <f t="shared" ref="K300" si="843">RIGHT(J300,5)</f>
        <v>19:04</v>
      </c>
      <c r="L300" s="184" t="str">
        <f t="shared" ref="L300" si="844">H300</f>
        <v>№624</v>
      </c>
      <c r="M300" s="191">
        <f t="shared" ref="M300" si="845">(J300-F300)*24</f>
        <v>1.03333333338378</v>
      </c>
      <c r="N300" s="61"/>
      <c r="P300" s="169" t="s">
        <v>685</v>
      </c>
      <c r="Q300" s="185">
        <f t="shared" ref="Q300" si="846">(F300-P300)*24</f>
        <v>2.3833333332440816</v>
      </c>
      <c r="R300" s="192">
        <f>Q300-1</f>
        <v>1.3833333332440816</v>
      </c>
    </row>
    <row r="301" spans="1:18" s="62" customFormat="1" ht="18" customHeight="1" thickBot="1">
      <c r="A301" s="248" t="s">
        <v>16</v>
      </c>
      <c r="B301" s="249"/>
      <c r="C301" s="250">
        <f>Пробеги!E138</f>
        <v>10585</v>
      </c>
      <c r="D301" s="251">
        <f>C301*2</f>
        <v>21170</v>
      </c>
      <c r="E301" s="252">
        <f>DAY(EOMONTH($S$427,0))*24-M301-R301</f>
        <v>738.54999999998836</v>
      </c>
      <c r="F301" s="161"/>
      <c r="G301" s="162"/>
      <c r="H301" s="163"/>
      <c r="I301" s="163"/>
      <c r="J301" s="163"/>
      <c r="K301" s="163"/>
      <c r="L301" s="163"/>
      <c r="M301" s="252">
        <f>SUM(M298:M300)</f>
        <v>3.5000000000582077</v>
      </c>
      <c r="N301" s="61"/>
      <c r="P301" s="171"/>
      <c r="Q301" s="170">
        <f>SUM(Q298:Q300)</f>
        <v>4.1499999999068677</v>
      </c>
      <c r="R301" s="170">
        <f>SUM(R298:R300)</f>
        <v>1.9499999999534339</v>
      </c>
    </row>
    <row r="302" spans="1:18" s="62" customFormat="1" ht="18" customHeight="1">
      <c r="A302" s="189">
        <v>1</v>
      </c>
      <c r="B302" s="190">
        <v>1652</v>
      </c>
      <c r="C302" s="208"/>
      <c r="D302" s="209"/>
      <c r="E302" s="210"/>
      <c r="F302" s="169" t="s">
        <v>86</v>
      </c>
      <c r="G302" s="193" t="str">
        <f t="shared" ref="G302" si="847">RIGHT(F302,5)</f>
        <v>03:52</v>
      </c>
      <c r="H302" s="243" t="s">
        <v>104</v>
      </c>
      <c r="I302" s="184" t="s">
        <v>15</v>
      </c>
      <c r="J302" s="169" t="s">
        <v>87</v>
      </c>
      <c r="K302" s="193" t="str">
        <f t="shared" ref="K302" si="848">RIGHT(J302,5)</f>
        <v>04:54</v>
      </c>
      <c r="L302" s="184" t="str">
        <f t="shared" ref="L302" si="849">H302</f>
        <v>№465</v>
      </c>
      <c r="M302" s="191">
        <f t="shared" ref="M302" si="850">(J302-F302)*24</f>
        <v>1.03333333338378</v>
      </c>
      <c r="N302" s="61"/>
      <c r="P302" s="169" t="s">
        <v>85</v>
      </c>
      <c r="Q302" s="185">
        <f t="shared" ref="Q302" si="851">(F302-P302)*24</f>
        <v>5.9666666667326353</v>
      </c>
      <c r="R302" s="192">
        <f>Q302-1</f>
        <v>4.9666666667326353</v>
      </c>
    </row>
    <row r="303" spans="1:18" s="62" customFormat="1" ht="18" customHeight="1">
      <c r="A303" s="337">
        <v>2</v>
      </c>
      <c r="B303" s="190">
        <v>1652</v>
      </c>
      <c r="C303" s="335"/>
      <c r="D303" s="338"/>
      <c r="E303" s="336"/>
      <c r="F303" s="169" t="s">
        <v>341</v>
      </c>
      <c r="G303" s="193" t="str">
        <f t="shared" ref="G303" si="852">RIGHT(F303,5)</f>
        <v>05:05</v>
      </c>
      <c r="H303" s="243" t="s">
        <v>408</v>
      </c>
      <c r="I303" s="184" t="s">
        <v>15</v>
      </c>
      <c r="J303" s="169" t="s">
        <v>342</v>
      </c>
      <c r="K303" s="193" t="str">
        <f t="shared" ref="K303" si="853">RIGHT(J303,5)</f>
        <v>06:42</v>
      </c>
      <c r="L303" s="184" t="str">
        <f t="shared" ref="L303" si="854">H303</f>
        <v>№540</v>
      </c>
      <c r="M303" s="191">
        <f t="shared" ref="M303" si="855">(J303-F303)*24</f>
        <v>1.6166666666977108</v>
      </c>
      <c r="N303" s="61"/>
      <c r="P303" s="169" t="s">
        <v>340</v>
      </c>
      <c r="Q303" s="185">
        <f t="shared" ref="Q303" si="856">(F303-P303)*24</f>
        <v>3.3333333267364651E-2</v>
      </c>
      <c r="R303" s="192">
        <f>Q303-Q303</f>
        <v>0</v>
      </c>
    </row>
    <row r="304" spans="1:18" s="62" customFormat="1" ht="18" customHeight="1" thickBot="1">
      <c r="A304" s="451">
        <v>3</v>
      </c>
      <c r="B304" s="190">
        <v>1652</v>
      </c>
      <c r="C304" s="449"/>
      <c r="D304" s="463"/>
      <c r="E304" s="450"/>
      <c r="F304" s="169" t="s">
        <v>689</v>
      </c>
      <c r="G304" s="193" t="str">
        <f t="shared" ref="G304" si="857">RIGHT(F304,5)</f>
        <v>22:11</v>
      </c>
      <c r="H304" s="243" t="s">
        <v>736</v>
      </c>
      <c r="I304" s="184" t="s">
        <v>15</v>
      </c>
      <c r="J304" s="169" t="s">
        <v>690</v>
      </c>
      <c r="K304" s="193" t="str">
        <f t="shared" ref="K304" si="858">RIGHT(J304,5)</f>
        <v>23:13</v>
      </c>
      <c r="L304" s="184" t="str">
        <f t="shared" ref="L304" si="859">H304</f>
        <v>№601</v>
      </c>
      <c r="M304" s="191">
        <f t="shared" ref="M304" si="860">(J304-F304)*24</f>
        <v>1.03333333338378</v>
      </c>
      <c r="N304" s="61"/>
      <c r="P304" s="169" t="s">
        <v>688</v>
      </c>
      <c r="Q304" s="185">
        <f t="shared" ref="Q304" si="861">(F304-P304)*24</f>
        <v>0.19999999995343387</v>
      </c>
      <c r="R304" s="192">
        <f>Q304-Q304</f>
        <v>0</v>
      </c>
    </row>
    <row r="305" spans="1:18" s="62" customFormat="1" ht="18" customHeight="1" thickBot="1">
      <c r="A305" s="123" t="s">
        <v>16</v>
      </c>
      <c r="B305" s="124"/>
      <c r="C305" s="166">
        <f>Пробеги!E140</f>
        <v>12836</v>
      </c>
      <c r="D305" s="167">
        <f>C305*2</f>
        <v>25672</v>
      </c>
      <c r="E305" s="168">
        <f>DAY(EOMONTH($S$427,0))*24-M305-R305</f>
        <v>735.34999999980209</v>
      </c>
      <c r="F305" s="109"/>
      <c r="G305" s="108"/>
      <c r="H305" s="107"/>
      <c r="I305" s="107"/>
      <c r="J305" s="107"/>
      <c r="K305" s="107"/>
      <c r="L305" s="107"/>
      <c r="M305" s="168">
        <f>SUM(M302:M304)</f>
        <v>3.6833333334652707</v>
      </c>
      <c r="N305" s="61"/>
      <c r="P305" s="171"/>
      <c r="Q305" s="170">
        <f>SUM(Q302:Q304)</f>
        <v>6.1999999999534339</v>
      </c>
      <c r="R305" s="170">
        <f>SUM(R302:R304)</f>
        <v>4.9666666667326353</v>
      </c>
    </row>
    <row r="306" spans="1:18" s="62" customFormat="1" ht="18" customHeight="1" thickBot="1">
      <c r="A306" s="189">
        <v>1</v>
      </c>
      <c r="B306" s="190">
        <v>1655</v>
      </c>
      <c r="C306" s="208"/>
      <c r="D306" s="209"/>
      <c r="E306" s="210"/>
      <c r="F306" s="86"/>
      <c r="G306" s="236"/>
      <c r="H306" s="181"/>
      <c r="I306" s="234"/>
      <c r="J306" s="86"/>
      <c r="K306" s="236"/>
      <c r="L306" s="234"/>
      <c r="M306" s="235"/>
      <c r="N306" s="61"/>
      <c r="P306" s="86"/>
      <c r="Q306" s="423"/>
      <c r="R306" s="416"/>
    </row>
    <row r="307" spans="1:18" s="62" customFormat="1" ht="18" customHeight="1" thickBot="1">
      <c r="A307" s="123" t="s">
        <v>16</v>
      </c>
      <c r="B307" s="124"/>
      <c r="C307" s="166">
        <f>Пробеги!E142</f>
        <v>2063</v>
      </c>
      <c r="D307" s="167">
        <f>C307*2</f>
        <v>4126</v>
      </c>
      <c r="E307" s="168">
        <f>'Бюджет времени'!$D$62-M307-R307</f>
        <v>175.21666666661622</v>
      </c>
      <c r="F307" s="109"/>
      <c r="G307" s="108"/>
      <c r="H307" s="107"/>
      <c r="I307" s="107"/>
      <c r="J307" s="107"/>
      <c r="K307" s="107"/>
      <c r="L307" s="107"/>
      <c r="M307" s="436"/>
      <c r="N307" s="61"/>
      <c r="P307" s="437"/>
      <c r="Q307" s="438"/>
      <c r="R307" s="438"/>
    </row>
    <row r="308" spans="1:18" s="62" customFormat="1" ht="18" customHeight="1" thickBot="1">
      <c r="A308" s="189">
        <v>1</v>
      </c>
      <c r="B308" s="190">
        <v>1656</v>
      </c>
      <c r="C308" s="208"/>
      <c r="D308" s="209"/>
      <c r="E308" s="210"/>
      <c r="F308" s="86"/>
      <c r="G308" s="236"/>
      <c r="H308" s="181"/>
      <c r="I308" s="234"/>
      <c r="J308" s="86"/>
      <c r="K308" s="236"/>
      <c r="L308" s="234"/>
      <c r="M308" s="235"/>
      <c r="N308" s="61"/>
      <c r="P308" s="86"/>
      <c r="Q308" s="423"/>
      <c r="R308" s="416"/>
    </row>
    <row r="309" spans="1:18" s="62" customFormat="1" ht="18" customHeight="1" thickBot="1">
      <c r="A309" s="123" t="s">
        <v>16</v>
      </c>
      <c r="B309" s="124"/>
      <c r="C309" s="166">
        <f>Пробеги!E144</f>
        <v>2163</v>
      </c>
      <c r="D309" s="167">
        <f>C309*2</f>
        <v>4326</v>
      </c>
      <c r="E309" s="168">
        <f>'Бюджет времени'!$D$63-M309-R309</f>
        <v>172.74999999994179</v>
      </c>
      <c r="F309" s="109"/>
      <c r="G309" s="108"/>
      <c r="H309" s="107"/>
      <c r="I309" s="107"/>
      <c r="J309" s="107"/>
      <c r="K309" s="107"/>
      <c r="L309" s="107"/>
      <c r="M309" s="436"/>
      <c r="N309" s="61"/>
      <c r="P309" s="437"/>
      <c r="Q309" s="438"/>
      <c r="R309" s="438"/>
    </row>
    <row r="310" spans="1:18" s="62" customFormat="1" ht="18" customHeight="1" thickBot="1">
      <c r="A310" s="189">
        <v>1</v>
      </c>
      <c r="B310" s="190">
        <v>1657</v>
      </c>
      <c r="C310" s="208"/>
      <c r="D310" s="209"/>
      <c r="E310" s="210"/>
      <c r="F310" s="86"/>
      <c r="G310" s="236"/>
      <c r="H310" s="181"/>
      <c r="I310" s="234"/>
      <c r="J310" s="86"/>
      <c r="K310" s="236"/>
      <c r="L310" s="234"/>
      <c r="M310" s="235"/>
      <c r="N310" s="61"/>
      <c r="P310" s="86"/>
      <c r="Q310" s="423"/>
      <c r="R310" s="416"/>
    </row>
    <row r="311" spans="1:18" s="62" customFormat="1" ht="18" customHeight="1" thickBot="1">
      <c r="A311" s="123" t="s">
        <v>16</v>
      </c>
      <c r="B311" s="124"/>
      <c r="C311" s="166">
        <f>Пробеги!E146</f>
        <v>2034</v>
      </c>
      <c r="D311" s="167">
        <f>C311*2</f>
        <v>4068</v>
      </c>
      <c r="E311" s="168">
        <f>'Бюджет времени'!$D$64-M311-R311</f>
        <v>172.21666666661622</v>
      </c>
      <c r="F311" s="109"/>
      <c r="G311" s="108"/>
      <c r="H311" s="107"/>
      <c r="I311" s="107"/>
      <c r="J311" s="107"/>
      <c r="K311" s="107"/>
      <c r="L311" s="107"/>
      <c r="M311" s="436"/>
      <c r="N311" s="61"/>
      <c r="P311" s="437"/>
      <c r="Q311" s="438"/>
      <c r="R311" s="438"/>
    </row>
    <row r="312" spans="1:18" s="62" customFormat="1" ht="18" customHeight="1" thickBot="1">
      <c r="A312" s="189">
        <v>1</v>
      </c>
      <c r="B312" s="190">
        <v>1658</v>
      </c>
      <c r="C312" s="208"/>
      <c r="D312" s="209"/>
      <c r="E312" s="210"/>
      <c r="F312" s="86"/>
      <c r="G312" s="236"/>
      <c r="H312" s="181"/>
      <c r="I312" s="234"/>
      <c r="J312" s="86"/>
      <c r="K312" s="236"/>
      <c r="L312" s="234"/>
      <c r="M312" s="235"/>
      <c r="N312" s="61"/>
      <c r="P312" s="86"/>
      <c r="Q312" s="423"/>
      <c r="R312" s="416"/>
    </row>
    <row r="313" spans="1:18" s="62" customFormat="1" ht="18" customHeight="1" thickBot="1">
      <c r="A313" s="123" t="s">
        <v>16</v>
      </c>
      <c r="B313" s="124"/>
      <c r="C313" s="166">
        <f>Пробеги!E148</f>
        <v>2502</v>
      </c>
      <c r="D313" s="167">
        <f>C313*2</f>
        <v>5004</v>
      </c>
      <c r="E313" s="168">
        <f>'Бюджет времени'!$D$65-M313-R313</f>
        <v>171.70000000001164</v>
      </c>
      <c r="F313" s="109"/>
      <c r="G313" s="108"/>
      <c r="H313" s="107"/>
      <c r="I313" s="107"/>
      <c r="J313" s="107"/>
      <c r="K313" s="107"/>
      <c r="L313" s="107"/>
      <c r="M313" s="436"/>
      <c r="N313" s="61"/>
      <c r="P313" s="437"/>
      <c r="Q313" s="438"/>
      <c r="R313" s="438"/>
    </row>
    <row r="314" spans="1:18" s="62" customFormat="1" ht="18" customHeight="1" thickBot="1">
      <c r="A314" s="189">
        <v>1</v>
      </c>
      <c r="B314" s="190">
        <v>1659</v>
      </c>
      <c r="C314" s="208"/>
      <c r="D314" s="209"/>
      <c r="E314" s="210"/>
      <c r="F314" s="86"/>
      <c r="G314" s="236"/>
      <c r="H314" s="181"/>
      <c r="I314" s="234"/>
      <c r="J314" s="86"/>
      <c r="K314" s="236"/>
      <c r="L314" s="234"/>
      <c r="M314" s="235"/>
      <c r="N314" s="61"/>
      <c r="P314" s="86"/>
      <c r="Q314" s="423"/>
      <c r="R314" s="416"/>
    </row>
    <row r="315" spans="1:18" s="62" customFormat="1" ht="18" customHeight="1" thickBot="1">
      <c r="A315" s="123" t="s">
        <v>16</v>
      </c>
      <c r="B315" s="124"/>
      <c r="C315" s="166">
        <f>Пробеги!E150</f>
        <v>2570</v>
      </c>
      <c r="D315" s="167">
        <f>C315*2</f>
        <v>5140</v>
      </c>
      <c r="E315" s="168">
        <f>'Бюджет времени'!$D$66-M315-R315</f>
        <v>171.21666666667443</v>
      </c>
      <c r="F315" s="109"/>
      <c r="G315" s="108"/>
      <c r="H315" s="107"/>
      <c r="I315" s="107"/>
      <c r="J315" s="107"/>
      <c r="K315" s="107"/>
      <c r="L315" s="107"/>
      <c r="M315" s="436"/>
      <c r="N315" s="61"/>
      <c r="P315" s="437"/>
      <c r="Q315" s="438"/>
      <c r="R315" s="438"/>
    </row>
    <row r="316" spans="1:18" s="62" customFormat="1" ht="18" customHeight="1" thickBot="1">
      <c r="A316" s="486">
        <v>1</v>
      </c>
      <c r="B316" s="190">
        <v>1660</v>
      </c>
      <c r="C316" s="490"/>
      <c r="D316" s="495"/>
      <c r="E316" s="489"/>
      <c r="F316" s="169" t="s">
        <v>979</v>
      </c>
      <c r="G316" s="193" t="str">
        <f t="shared" ref="G316" si="862">RIGHT(F316,5)</f>
        <v>19:22</v>
      </c>
      <c r="H316" s="243" t="s">
        <v>993</v>
      </c>
      <c r="I316" s="184" t="s">
        <v>51</v>
      </c>
      <c r="J316" s="169" t="s">
        <v>980</v>
      </c>
      <c r="K316" s="193" t="str">
        <f t="shared" ref="K316" si="863">RIGHT(J316,5)</f>
        <v>19:42</v>
      </c>
      <c r="L316" s="184" t="str">
        <f t="shared" ref="L316" si="864">H316</f>
        <v>№РЦ14/38</v>
      </c>
      <c r="M316" s="191">
        <f t="shared" ref="M316" si="865">(J316-F316)*24</f>
        <v>0.33333333337213844</v>
      </c>
      <c r="N316" s="61"/>
      <c r="P316" s="169" t="s">
        <v>921</v>
      </c>
      <c r="Q316" s="185">
        <f t="shared" ref="Q316" si="866">(F316-P316)*24</f>
        <v>14.016666666604578</v>
      </c>
      <c r="R316" s="192">
        <f>Q316</f>
        <v>14.016666666604578</v>
      </c>
    </row>
    <row r="317" spans="1:18" s="62" customFormat="1" ht="18" customHeight="1" thickBot="1">
      <c r="A317" s="123" t="s">
        <v>16</v>
      </c>
      <c r="B317" s="124"/>
      <c r="C317" s="166">
        <f>Пробеги!E152</f>
        <v>2007</v>
      </c>
      <c r="D317" s="167">
        <f>C317*2</f>
        <v>4014</v>
      </c>
      <c r="E317" s="168">
        <f>'Бюджет времени'!$D$67-M317-R317</f>
        <v>155.51666666666279</v>
      </c>
      <c r="F317" s="109"/>
      <c r="G317" s="108"/>
      <c r="H317" s="107"/>
      <c r="I317" s="107"/>
      <c r="J317" s="107"/>
      <c r="K317" s="107"/>
      <c r="L317" s="107"/>
      <c r="M317" s="168">
        <f>SUM(M316:M316)</f>
        <v>0.33333333337213844</v>
      </c>
      <c r="N317" s="61"/>
      <c r="P317" s="171"/>
      <c r="Q317" s="170">
        <f>SUM(Q316:Q316)</f>
        <v>14.016666666604578</v>
      </c>
      <c r="R317" s="170">
        <f>SUM(R316:R316)</f>
        <v>14.016666666604578</v>
      </c>
    </row>
    <row r="318" spans="1:18" s="62" customFormat="1" ht="18" customHeight="1" thickBot="1">
      <c r="A318" s="189">
        <v>1</v>
      </c>
      <c r="B318" s="190">
        <v>1661</v>
      </c>
      <c r="C318" s="208"/>
      <c r="D318" s="209"/>
      <c r="E318" s="210"/>
      <c r="F318" s="169" t="s">
        <v>774</v>
      </c>
      <c r="G318" s="193" t="str">
        <f t="shared" ref="G318" si="867">RIGHT(F318,5)</f>
        <v>21:17</v>
      </c>
      <c r="H318" s="243" t="s">
        <v>822</v>
      </c>
      <c r="I318" s="184" t="s">
        <v>51</v>
      </c>
      <c r="J318" s="169" t="s">
        <v>775</v>
      </c>
      <c r="K318" s="193" t="str">
        <f t="shared" ref="K318" si="868">RIGHT(J318,5)</f>
        <v>22:25</v>
      </c>
      <c r="L318" s="184" t="str">
        <f t="shared" ref="L318" si="869">H318</f>
        <v>№259</v>
      </c>
      <c r="M318" s="191">
        <f t="shared" ref="M318" si="870">(J318-F318)*24</f>
        <v>1.1333333333604969</v>
      </c>
      <c r="N318" s="61"/>
      <c r="P318" s="169" t="s">
        <v>773</v>
      </c>
      <c r="Q318" s="185">
        <f t="shared" ref="Q318" si="871">(F318-P318)*24</f>
        <v>0.58333333331393078</v>
      </c>
      <c r="R318" s="192">
        <f>Q318+V370</f>
        <v>23.650000000081491</v>
      </c>
    </row>
    <row r="319" spans="1:18" s="62" customFormat="1" ht="18" customHeight="1" thickBot="1">
      <c r="A319" s="123" t="s">
        <v>16</v>
      </c>
      <c r="B319" s="124"/>
      <c r="C319" s="166">
        <f>Пробеги!E154</f>
        <v>3460</v>
      </c>
      <c r="D319" s="167">
        <f>C319*2</f>
        <v>6920</v>
      </c>
      <c r="E319" s="168">
        <f>'Бюджет времени'!$D$68-M319-R319</f>
        <v>317.91666666656965</v>
      </c>
      <c r="F319" s="109"/>
      <c r="G319" s="108"/>
      <c r="H319" s="107"/>
      <c r="I319" s="107"/>
      <c r="J319" s="107"/>
      <c r="K319" s="107"/>
      <c r="L319" s="107"/>
      <c r="M319" s="168">
        <f>SUM(M318:M318)</f>
        <v>1.1333333333604969</v>
      </c>
      <c r="N319" s="61"/>
      <c r="P319" s="171"/>
      <c r="Q319" s="170">
        <f>SUM(Q318:Q318)</f>
        <v>0.58333333331393078</v>
      </c>
      <c r="R319" s="170">
        <f>SUM(R318:R318)</f>
        <v>23.650000000081491</v>
      </c>
    </row>
    <row r="320" spans="1:18" s="62" customFormat="1" ht="18" customHeight="1">
      <c r="A320" s="189">
        <v>1</v>
      </c>
      <c r="B320" s="190">
        <v>1662</v>
      </c>
      <c r="C320" s="208"/>
      <c r="D320" s="209"/>
      <c r="E320" s="210"/>
      <c r="F320" s="169" t="s">
        <v>847</v>
      </c>
      <c r="G320" s="193" t="str">
        <f t="shared" ref="G320:G321" si="872">RIGHT(F320,5)</f>
        <v>01:44</v>
      </c>
      <c r="H320" s="243" t="s">
        <v>858</v>
      </c>
      <c r="I320" s="184" t="s">
        <v>15</v>
      </c>
      <c r="J320" s="169" t="s">
        <v>848</v>
      </c>
      <c r="K320" s="193" t="str">
        <f t="shared" ref="K320:K321" si="873">RIGHT(J320,5)</f>
        <v>03:12</v>
      </c>
      <c r="L320" s="184" t="str">
        <f t="shared" ref="L320:L321" si="874">H320</f>
        <v>№655</v>
      </c>
      <c r="M320" s="191">
        <f t="shared" ref="M320:M321" si="875">(J320-F320)*24</f>
        <v>1.4666666665580124</v>
      </c>
      <c r="N320" s="61"/>
      <c r="P320" s="169" t="s">
        <v>846</v>
      </c>
      <c r="Q320" s="185">
        <f t="shared" ref="Q320:Q321" si="876">(F320-P320)*24</f>
        <v>7.5499999999883585</v>
      </c>
      <c r="R320" s="192">
        <f>Q320-1</f>
        <v>6.5499999999883585</v>
      </c>
    </row>
    <row r="321" spans="1:18" s="62" customFormat="1" ht="18" customHeight="1" thickBot="1">
      <c r="A321" s="486">
        <v>2</v>
      </c>
      <c r="B321" s="190">
        <v>1662</v>
      </c>
      <c r="C321" s="490"/>
      <c r="D321" s="495"/>
      <c r="E321" s="489"/>
      <c r="F321" s="169" t="s">
        <v>923</v>
      </c>
      <c r="G321" s="193" t="str">
        <f t="shared" si="872"/>
        <v>12:31</v>
      </c>
      <c r="H321" s="243" t="s">
        <v>956</v>
      </c>
      <c r="I321" s="184" t="s">
        <v>51</v>
      </c>
      <c r="J321" s="169" t="s">
        <v>924</v>
      </c>
      <c r="K321" s="193" t="str">
        <f t="shared" si="873"/>
        <v>13:13</v>
      </c>
      <c r="L321" s="184" t="str">
        <f t="shared" si="874"/>
        <v>№272</v>
      </c>
      <c r="M321" s="191">
        <f t="shared" si="875"/>
        <v>0.70000000001164153</v>
      </c>
      <c r="N321" s="61"/>
      <c r="P321" s="169" t="s">
        <v>922</v>
      </c>
      <c r="Q321" s="185">
        <f t="shared" si="876"/>
        <v>4.8499999999185093</v>
      </c>
      <c r="R321" s="192">
        <f>Q321+V372</f>
        <v>6.749999999825377</v>
      </c>
    </row>
    <row r="322" spans="1:18" s="62" customFormat="1" ht="18" customHeight="1" thickBot="1">
      <c r="A322" s="123" t="s">
        <v>16</v>
      </c>
      <c r="B322" s="124"/>
      <c r="C322" s="166">
        <f>Пробеги!E156</f>
        <v>5307</v>
      </c>
      <c r="D322" s="167">
        <f>C322*2</f>
        <v>10614</v>
      </c>
      <c r="E322" s="168">
        <f>'Бюджет времени'!$D$69-M322-R322</f>
        <v>325.2833333335584</v>
      </c>
      <c r="F322" s="109"/>
      <c r="G322" s="108"/>
      <c r="H322" s="107"/>
      <c r="I322" s="107"/>
      <c r="J322" s="107"/>
      <c r="K322" s="107"/>
      <c r="L322" s="107"/>
      <c r="M322" s="168">
        <f>SUM(M320:M321)</f>
        <v>2.1666666665696539</v>
      </c>
      <c r="N322" s="61"/>
      <c r="P322" s="171"/>
      <c r="Q322" s="170">
        <f>SUM(Q320:Q321)</f>
        <v>12.399999999906868</v>
      </c>
      <c r="R322" s="170">
        <f>SUM(R320:R321)</f>
        <v>13.299999999813735</v>
      </c>
    </row>
    <row r="323" spans="1:18" s="62" customFormat="1" ht="18" customHeight="1" thickBot="1">
      <c r="A323" s="189">
        <v>1</v>
      </c>
      <c r="B323" s="190">
        <v>1663</v>
      </c>
      <c r="C323" s="208"/>
      <c r="D323" s="209"/>
      <c r="E323" s="210"/>
      <c r="F323" s="169" t="s">
        <v>926</v>
      </c>
      <c r="G323" s="193" t="str">
        <f t="shared" ref="G323" si="877">RIGHT(F323,5)</f>
        <v>18:48</v>
      </c>
      <c r="H323" s="243" t="s">
        <v>951</v>
      </c>
      <c r="I323" s="184" t="s">
        <v>15</v>
      </c>
      <c r="J323" s="169" t="s">
        <v>927</v>
      </c>
      <c r="K323" s="193" t="str">
        <f t="shared" ref="K323" si="878">RIGHT(J323,5)</f>
        <v>19:54</v>
      </c>
      <c r="L323" s="184" t="str">
        <f t="shared" ref="L323" si="879">H323</f>
        <v>№673</v>
      </c>
      <c r="M323" s="191">
        <f t="shared" ref="M323" si="880">(J323-F323)*24</f>
        <v>1.1000000000931323</v>
      </c>
      <c r="N323" s="61"/>
      <c r="P323" s="169" t="s">
        <v>925</v>
      </c>
      <c r="Q323" s="185">
        <f t="shared" ref="Q323" si="881">(F323-P323)*24</f>
        <v>2.1666666665696539</v>
      </c>
      <c r="R323" s="192">
        <f>Q323-1</f>
        <v>1.1666666665696539</v>
      </c>
    </row>
    <row r="324" spans="1:18" s="62" customFormat="1" ht="18" customHeight="1" thickBot="1">
      <c r="A324" s="123" t="s">
        <v>16</v>
      </c>
      <c r="B324" s="124"/>
      <c r="C324" s="166">
        <f>Пробеги!E158</f>
        <v>3470</v>
      </c>
      <c r="D324" s="167">
        <f>C324*2</f>
        <v>6940</v>
      </c>
      <c r="E324" s="168">
        <f>'Бюджет времени'!$D$70-M324-R324</f>
        <v>337.86666666669771</v>
      </c>
      <c r="F324" s="109"/>
      <c r="G324" s="108"/>
      <c r="H324" s="107"/>
      <c r="I324" s="107"/>
      <c r="J324" s="107"/>
      <c r="K324" s="107"/>
      <c r="L324" s="107"/>
      <c r="M324" s="168">
        <f>SUM(M323:M323)</f>
        <v>1.1000000000931323</v>
      </c>
      <c r="N324" s="61"/>
      <c r="P324" s="171"/>
      <c r="Q324" s="170">
        <f>SUM(Q323:Q323)</f>
        <v>2.1666666665696539</v>
      </c>
      <c r="R324" s="170">
        <f>SUM(R323:R323)</f>
        <v>1.1666666665696539</v>
      </c>
    </row>
    <row r="325" spans="1:18" s="62" customFormat="1" ht="18" customHeight="1" thickBot="1">
      <c r="A325" s="189">
        <v>1</v>
      </c>
      <c r="B325" s="190">
        <v>1664</v>
      </c>
      <c r="C325" s="208"/>
      <c r="D325" s="209"/>
      <c r="E325" s="210"/>
      <c r="F325" s="169" t="s">
        <v>815</v>
      </c>
      <c r="G325" s="193" t="str">
        <f t="shared" ref="G325" si="882">RIGHT(F325,5)</f>
        <v>07:07</v>
      </c>
      <c r="H325" s="243" t="s">
        <v>824</v>
      </c>
      <c r="I325" s="184" t="s">
        <v>15</v>
      </c>
      <c r="J325" s="169" t="s">
        <v>849</v>
      </c>
      <c r="K325" s="193" t="str">
        <f t="shared" ref="K325" si="883">RIGHT(J325,5)</f>
        <v>08:12</v>
      </c>
      <c r="L325" s="184" t="str">
        <f t="shared" ref="L325" si="884">H325</f>
        <v>№646</v>
      </c>
      <c r="M325" s="191">
        <f t="shared" ref="M325" si="885">(J325-F325)*24</f>
        <v>1.0833333333721384</v>
      </c>
      <c r="N325" s="61"/>
      <c r="P325" s="169" t="s">
        <v>802</v>
      </c>
      <c r="Q325" s="185">
        <f t="shared" ref="Q325" si="886">(F325-P325)*24</f>
        <v>4.0666666666511446</v>
      </c>
      <c r="R325" s="192">
        <f>Q325-1</f>
        <v>3.0666666666511446</v>
      </c>
    </row>
    <row r="326" spans="1:18" s="62" customFormat="1" ht="18" customHeight="1" thickBot="1">
      <c r="A326" s="123" t="s">
        <v>16</v>
      </c>
      <c r="B326" s="124"/>
      <c r="C326" s="166">
        <f>Пробеги!E160</f>
        <v>6031</v>
      </c>
      <c r="D326" s="167">
        <f>C326*2</f>
        <v>12062</v>
      </c>
      <c r="E326" s="168">
        <f>'Бюджет времени'!$D$71-M326-R326</f>
        <v>334.93333333323244</v>
      </c>
      <c r="F326" s="109"/>
      <c r="G326" s="108"/>
      <c r="H326" s="107"/>
      <c r="I326" s="107"/>
      <c r="J326" s="107"/>
      <c r="K326" s="107"/>
      <c r="L326" s="124"/>
      <c r="M326" s="168">
        <f>SUM(M325:M325)</f>
        <v>1.0833333333721384</v>
      </c>
      <c r="N326" s="61"/>
      <c r="P326" s="171"/>
      <c r="Q326" s="170">
        <f>SUM(Q325:Q325)</f>
        <v>4.0666666666511446</v>
      </c>
      <c r="R326" s="170">
        <f>SUM(R325:R325)</f>
        <v>3.0666666666511446</v>
      </c>
    </row>
    <row r="327" spans="1:18" s="62" customFormat="1" ht="18" customHeight="1">
      <c r="A327" s="189">
        <v>1</v>
      </c>
      <c r="B327" s="190">
        <v>1665</v>
      </c>
      <c r="C327" s="208"/>
      <c r="D327" s="209"/>
      <c r="E327" s="210"/>
      <c r="F327" s="169" t="s">
        <v>692</v>
      </c>
      <c r="G327" s="193" t="str">
        <f t="shared" ref="G327" si="887">RIGHT(F327,5)</f>
        <v>01:09</v>
      </c>
      <c r="H327" s="243" t="s">
        <v>740</v>
      </c>
      <c r="I327" s="184" t="s">
        <v>51</v>
      </c>
      <c r="J327" s="169" t="s">
        <v>693</v>
      </c>
      <c r="K327" s="193" t="str">
        <f t="shared" ref="K327" si="888">RIGHT(J327,5)</f>
        <v>01:31</v>
      </c>
      <c r="L327" s="184" t="str">
        <f t="shared" ref="L327" si="889">H327</f>
        <v>№247</v>
      </c>
      <c r="M327" s="191">
        <f t="shared" ref="M327" si="890">(J327-F327)*24</f>
        <v>0.36666666663950309</v>
      </c>
      <c r="N327" s="61"/>
      <c r="P327" s="169" t="s">
        <v>691</v>
      </c>
      <c r="Q327" s="185">
        <f t="shared" ref="Q327" si="891">(F327-P327)*24</f>
        <v>0.28333333338377997</v>
      </c>
      <c r="R327" s="192">
        <f>Q327</f>
        <v>0.28333333338377997</v>
      </c>
    </row>
    <row r="328" spans="1:18" s="62" customFormat="1" ht="18" customHeight="1">
      <c r="A328" s="451">
        <v>2</v>
      </c>
      <c r="B328" s="190">
        <v>1665</v>
      </c>
      <c r="C328" s="449"/>
      <c r="D328" s="463"/>
      <c r="E328" s="450"/>
      <c r="F328" s="169" t="s">
        <v>695</v>
      </c>
      <c r="G328" s="193" t="str">
        <f t="shared" ref="G328:G329" si="892">RIGHT(F328,5)</f>
        <v>14:43</v>
      </c>
      <c r="H328" s="243" t="s">
        <v>740</v>
      </c>
      <c r="I328" s="184" t="s">
        <v>51</v>
      </c>
      <c r="J328" s="169" t="s">
        <v>696</v>
      </c>
      <c r="K328" s="193" t="str">
        <f t="shared" ref="K328:K329" si="893">RIGHT(J328,5)</f>
        <v>16:43</v>
      </c>
      <c r="L328" s="184" t="str">
        <f t="shared" ref="L328:L329" si="894">H328</f>
        <v>№247</v>
      </c>
      <c r="M328" s="191">
        <f t="shared" ref="M328:M329" si="895">(J328-F328)*24</f>
        <v>2.0000000000582077</v>
      </c>
      <c r="N328" s="61"/>
      <c r="P328" s="169" t="s">
        <v>694</v>
      </c>
      <c r="Q328" s="185">
        <f t="shared" ref="Q328:Q329" si="896">(F328-P328)*24</f>
        <v>23.933333333290648</v>
      </c>
      <c r="R328" s="192">
        <f>Q328</f>
        <v>23.933333333290648</v>
      </c>
    </row>
    <row r="329" spans="1:18" s="62" customFormat="1" ht="18" customHeight="1">
      <c r="A329" s="484">
        <v>3</v>
      </c>
      <c r="B329" s="190">
        <v>1665</v>
      </c>
      <c r="C329" s="482"/>
      <c r="D329" s="485"/>
      <c r="E329" s="483"/>
      <c r="F329" s="169" t="s">
        <v>851</v>
      </c>
      <c r="G329" s="193" t="str">
        <f t="shared" si="892"/>
        <v>00:01</v>
      </c>
      <c r="H329" s="243" t="s">
        <v>859</v>
      </c>
      <c r="I329" s="184" t="s">
        <v>15</v>
      </c>
      <c r="J329" s="169" t="s">
        <v>852</v>
      </c>
      <c r="K329" s="193" t="str">
        <f t="shared" si="893"/>
        <v>01:24</v>
      </c>
      <c r="L329" s="184" t="str">
        <f t="shared" si="894"/>
        <v>№654</v>
      </c>
      <c r="M329" s="191">
        <f t="shared" si="895"/>
        <v>1.3833333333022892</v>
      </c>
      <c r="N329" s="61"/>
      <c r="P329" s="169" t="s">
        <v>850</v>
      </c>
      <c r="Q329" s="185">
        <f t="shared" si="896"/>
        <v>4.5999999999767169</v>
      </c>
      <c r="R329" s="192">
        <f>Q329-1</f>
        <v>3.5999999999767169</v>
      </c>
    </row>
    <row r="330" spans="1:18" s="62" customFormat="1" ht="18" customHeight="1" thickBot="1">
      <c r="A330" s="486">
        <v>4</v>
      </c>
      <c r="B330" s="190">
        <v>1665</v>
      </c>
      <c r="C330" s="490"/>
      <c r="D330" s="495"/>
      <c r="E330" s="489"/>
      <c r="F330" s="169" t="s">
        <v>929</v>
      </c>
      <c r="G330" s="193" t="str">
        <f t="shared" ref="G330" si="897">RIGHT(F330,5)</f>
        <v>15:56</v>
      </c>
      <c r="H330" s="243" t="s">
        <v>957</v>
      </c>
      <c r="I330" s="184" t="s">
        <v>51</v>
      </c>
      <c r="J330" s="169" t="s">
        <v>930</v>
      </c>
      <c r="K330" s="193" t="str">
        <f t="shared" ref="K330" si="898">RIGHT(J330,5)</f>
        <v>17:06</v>
      </c>
      <c r="L330" s="184" t="str">
        <f t="shared" ref="L330" si="899">H330</f>
        <v>№277</v>
      </c>
      <c r="M330" s="191">
        <f t="shared" ref="M330" si="900">(J330-F330)*24</f>
        <v>1.1666666666278616</v>
      </c>
      <c r="N330" s="61"/>
      <c r="P330" s="169" t="s">
        <v>928</v>
      </c>
      <c r="Q330" s="185">
        <f t="shared" ref="Q330" si="901">(F330-P330)*24</f>
        <v>14.433333333407063</v>
      </c>
      <c r="R330" s="192">
        <f>Q330</f>
        <v>14.433333333407063</v>
      </c>
    </row>
    <row r="331" spans="1:18" s="62" customFormat="1" ht="18" customHeight="1" thickBot="1">
      <c r="A331" s="123" t="s">
        <v>16</v>
      </c>
      <c r="B331" s="124"/>
      <c r="C331" s="166">
        <f>Пробеги!E162</f>
        <v>4683</v>
      </c>
      <c r="D331" s="167">
        <f>C331*2</f>
        <v>9366</v>
      </c>
      <c r="E331" s="168">
        <f>'Бюджет времени'!$D$72-M331-R331</f>
        <v>291.15000000002328</v>
      </c>
      <c r="F331" s="109"/>
      <c r="G331" s="108"/>
      <c r="H331" s="107"/>
      <c r="I331" s="124"/>
      <c r="J331" s="107"/>
      <c r="K331" s="107"/>
      <c r="L331" s="107"/>
      <c r="M331" s="168">
        <f>SUM(M327:M330)</f>
        <v>4.9166666666278616</v>
      </c>
      <c r="N331" s="61"/>
      <c r="P331" s="171"/>
      <c r="Q331" s="170">
        <f>SUM(Q327:Q330)</f>
        <v>43.250000000058208</v>
      </c>
      <c r="R331" s="170">
        <f>SUM(R327:R330)</f>
        <v>42.250000000058208</v>
      </c>
    </row>
    <row r="332" spans="1:18" s="62" customFormat="1" ht="18" customHeight="1" thickBot="1">
      <c r="A332" s="547">
        <v>1</v>
      </c>
      <c r="B332" s="548">
        <v>1666</v>
      </c>
      <c r="C332" s="549"/>
      <c r="D332" s="550"/>
      <c r="E332" s="551"/>
      <c r="F332" s="552" t="s">
        <v>932</v>
      </c>
      <c r="G332" s="553" t="str">
        <f t="shared" ref="G332" si="902">RIGHT(F332,5)</f>
        <v>15:35</v>
      </c>
      <c r="H332" s="549" t="s">
        <v>952</v>
      </c>
      <c r="I332" s="549" t="s">
        <v>15</v>
      </c>
      <c r="J332" s="552" t="s">
        <v>933</v>
      </c>
      <c r="K332" s="553" t="str">
        <f t="shared" ref="K332" si="903">RIGHT(J332,5)</f>
        <v>17:04</v>
      </c>
      <c r="L332" s="549" t="str">
        <f t="shared" ref="L332" si="904">H332</f>
        <v>№671</v>
      </c>
      <c r="M332" s="551">
        <f t="shared" ref="M332" si="905">(J332-F332)*24</f>
        <v>1.4833333332790062</v>
      </c>
      <c r="N332" s="61"/>
      <c r="P332" s="169" t="s">
        <v>931</v>
      </c>
      <c r="Q332" s="185">
        <f t="shared" ref="Q332" si="906">(F332-P332)*24</f>
        <v>3.1666666666860692</v>
      </c>
      <c r="R332" s="192">
        <f>Q332-1</f>
        <v>2.1666666666860692</v>
      </c>
    </row>
    <row r="333" spans="1:18" s="62" customFormat="1" ht="18" customHeight="1" thickBot="1">
      <c r="A333" s="534" t="s">
        <v>16</v>
      </c>
      <c r="B333" s="535"/>
      <c r="C333" s="536">
        <f>Пробеги!E164</f>
        <v>3915</v>
      </c>
      <c r="D333" s="537">
        <f>C333*2</f>
        <v>7830</v>
      </c>
      <c r="E333" s="538">
        <f>'Бюджет времени'!$D$73-M333-R333</f>
        <v>333.91666666674428</v>
      </c>
      <c r="F333" s="562"/>
      <c r="G333" s="539"/>
      <c r="H333" s="540"/>
      <c r="I333" s="540"/>
      <c r="J333" s="540"/>
      <c r="K333" s="540"/>
      <c r="L333" s="540"/>
      <c r="M333" s="538">
        <f>SUM(M332:M332)</f>
        <v>1.4833333332790062</v>
      </c>
      <c r="N333" s="61"/>
      <c r="P333" s="171"/>
      <c r="Q333" s="242">
        <f>SUM(Q332:Q332)</f>
        <v>3.1666666666860692</v>
      </c>
      <c r="R333" s="242">
        <f>SUM(R332:R332)</f>
        <v>2.1666666666860692</v>
      </c>
    </row>
    <row r="334" spans="1:18" s="62" customFormat="1" ht="18" customHeight="1">
      <c r="A334" s="543"/>
      <c r="B334" s="544"/>
      <c r="C334" s="544"/>
      <c r="D334" s="545"/>
      <c r="E334" s="546"/>
      <c r="F334" s="83"/>
      <c r="G334" s="85"/>
      <c r="H334" s="84"/>
      <c r="I334" s="84"/>
      <c r="J334" s="84"/>
      <c r="K334" s="84"/>
      <c r="L334" s="84"/>
      <c r="M334" s="546"/>
      <c r="N334" s="61"/>
      <c r="P334" s="541"/>
      <c r="Q334" s="542"/>
      <c r="R334" s="542"/>
    </row>
    <row r="335" spans="1:18" s="62" customFormat="1" ht="18" customHeight="1">
      <c r="A335" s="543"/>
      <c r="B335" s="544"/>
      <c r="C335" s="544"/>
      <c r="D335" s="545"/>
      <c r="E335" s="546"/>
      <c r="F335" s="83"/>
      <c r="G335" s="85"/>
      <c r="H335" s="84"/>
      <c r="I335" s="84"/>
      <c r="J335" s="84"/>
      <c r="K335" s="84"/>
      <c r="L335" s="580" t="s">
        <v>1209</v>
      </c>
      <c r="M335" s="580"/>
      <c r="N335" s="61"/>
      <c r="P335" s="541"/>
      <c r="Q335" s="542"/>
      <c r="R335" s="542"/>
    </row>
    <row r="336" spans="1:18" s="62" customFormat="1" ht="18" customHeight="1" thickBot="1">
      <c r="A336" s="563">
        <v>1</v>
      </c>
      <c r="B336" s="564">
        <v>1667</v>
      </c>
      <c r="C336" s="565"/>
      <c r="D336" s="566"/>
      <c r="E336" s="567"/>
      <c r="F336" s="568" t="s">
        <v>804</v>
      </c>
      <c r="G336" s="569" t="str">
        <f t="shared" ref="G336" si="907">RIGHT(F336,5)</f>
        <v>05:55</v>
      </c>
      <c r="H336" s="565" t="s">
        <v>814</v>
      </c>
      <c r="I336" s="565" t="s">
        <v>15</v>
      </c>
      <c r="J336" s="568" t="s">
        <v>816</v>
      </c>
      <c r="K336" s="569" t="str">
        <f t="shared" ref="K336" si="908">RIGHT(J336,5)</f>
        <v>07:10</v>
      </c>
      <c r="L336" s="565" t="str">
        <f t="shared" ref="L336" si="909">H336</f>
        <v>№645</v>
      </c>
      <c r="M336" s="567">
        <f t="shared" ref="M336" si="910">(J336-F336)*24</f>
        <v>1.2499999998835847</v>
      </c>
      <c r="N336" s="61"/>
      <c r="P336" s="570" t="s">
        <v>803</v>
      </c>
      <c r="Q336" s="571">
        <f t="shared" ref="Q336" si="911">(F336-P336)*24</f>
        <v>4.1500000000814907</v>
      </c>
      <c r="R336" s="572">
        <f>Q336-1</f>
        <v>3.1500000000814907</v>
      </c>
    </row>
    <row r="337" spans="1:24" s="62" customFormat="1" ht="18" customHeight="1" thickBot="1">
      <c r="A337" s="554" t="s">
        <v>16</v>
      </c>
      <c r="B337" s="555"/>
      <c r="C337" s="556">
        <f>Пробеги!E166</f>
        <v>5192</v>
      </c>
      <c r="D337" s="557">
        <f>C337*2</f>
        <v>10384</v>
      </c>
      <c r="E337" s="558">
        <f>'Бюджет времени'!$D$74-M337-R337</f>
        <v>332.68333333340706</v>
      </c>
      <c r="F337" s="559"/>
      <c r="G337" s="560"/>
      <c r="H337" s="561"/>
      <c r="I337" s="561"/>
      <c r="J337" s="555"/>
      <c r="K337" s="555"/>
      <c r="L337" s="561"/>
      <c r="M337" s="558">
        <f>SUM(M336:M336)</f>
        <v>1.2499999998835847</v>
      </c>
      <c r="N337" s="61"/>
      <c r="P337" s="171"/>
      <c r="Q337" s="170">
        <f>SUM(Q336:Q336)</f>
        <v>4.1500000000814907</v>
      </c>
      <c r="R337" s="170">
        <f>SUM(R336:R336)</f>
        <v>3.1500000000814907</v>
      </c>
    </row>
    <row r="338" spans="1:24" s="62" customFormat="1" ht="18" customHeight="1" thickBot="1">
      <c r="A338" s="189">
        <v>1</v>
      </c>
      <c r="B338" s="190">
        <v>1668</v>
      </c>
      <c r="C338" s="208"/>
      <c r="D338" s="209"/>
      <c r="E338" s="210"/>
      <c r="F338" s="169" t="s">
        <v>934</v>
      </c>
      <c r="G338" s="193" t="str">
        <f t="shared" ref="G338" si="912">RIGHT(F338,5)</f>
        <v>09:41</v>
      </c>
      <c r="H338" s="243" t="s">
        <v>953</v>
      </c>
      <c r="I338" s="184" t="s">
        <v>15</v>
      </c>
      <c r="J338" s="169" t="s">
        <v>935</v>
      </c>
      <c r="K338" s="193" t="str">
        <f t="shared" ref="K338" si="913">RIGHT(J338,5)</f>
        <v>10:49</v>
      </c>
      <c r="L338" s="184" t="str">
        <f t="shared" ref="L338" si="914">H338</f>
        <v>№657</v>
      </c>
      <c r="M338" s="191">
        <f t="shared" ref="M338" si="915">(J338-F338)*24</f>
        <v>1.1333333333604969</v>
      </c>
      <c r="N338" s="61"/>
      <c r="P338" s="169" t="s">
        <v>833</v>
      </c>
      <c r="Q338" s="185">
        <f t="shared" ref="Q338" si="916">(F338-P338)*24</f>
        <v>7.1333333333604969</v>
      </c>
      <c r="R338" s="192">
        <f>Q338-1</f>
        <v>6.1333333333604969</v>
      </c>
    </row>
    <row r="339" spans="1:24" s="62" customFormat="1" ht="18" customHeight="1" thickBot="1">
      <c r="A339" s="123" t="s">
        <v>16</v>
      </c>
      <c r="B339" s="124"/>
      <c r="C339" s="166">
        <f>Пробеги!E168</f>
        <v>4412</v>
      </c>
      <c r="D339" s="167">
        <f>C339*2</f>
        <v>8824</v>
      </c>
      <c r="E339" s="168">
        <f>'Бюджет времени'!$D$75-M339-R339</f>
        <v>329.40000000002328</v>
      </c>
      <c r="F339" s="109"/>
      <c r="G339" s="108"/>
      <c r="H339" s="107"/>
      <c r="I339" s="107"/>
      <c r="J339" s="107"/>
      <c r="K339" s="107"/>
      <c r="L339" s="107"/>
      <c r="M339" s="168">
        <f>SUM(M338:M338)</f>
        <v>1.1333333333604969</v>
      </c>
      <c r="N339" s="61"/>
      <c r="P339" s="171"/>
      <c r="Q339" s="170">
        <f>SUM(Q338:Q338)</f>
        <v>7.1333333333604969</v>
      </c>
      <c r="R339" s="170">
        <f>SUM(R338:R338)</f>
        <v>6.1333333333604969</v>
      </c>
    </row>
    <row r="340" spans="1:24" s="62" customFormat="1" ht="18" customHeight="1" thickBot="1">
      <c r="A340" s="189">
        <v>1</v>
      </c>
      <c r="B340" s="190">
        <v>1669</v>
      </c>
      <c r="C340" s="208"/>
      <c r="D340" s="209"/>
      <c r="E340" s="210"/>
      <c r="F340" s="169" t="s">
        <v>806</v>
      </c>
      <c r="G340" s="193" t="str">
        <f t="shared" ref="G340" si="917">RIGHT(F340,5)</f>
        <v>03:20</v>
      </c>
      <c r="H340" s="243" t="s">
        <v>817</v>
      </c>
      <c r="I340" s="184" t="s">
        <v>15</v>
      </c>
      <c r="J340" s="169" t="s">
        <v>807</v>
      </c>
      <c r="K340" s="193" t="str">
        <f t="shared" ref="K340" si="918">RIGHT(J340,5)</f>
        <v>04:39</v>
      </c>
      <c r="L340" s="184" t="str">
        <f t="shared" ref="L340" si="919">H340</f>
        <v>№643</v>
      </c>
      <c r="M340" s="191">
        <f t="shared" ref="M340" si="920">(J340-F340)*24</f>
        <v>1.316666666592937</v>
      </c>
      <c r="N340" s="61"/>
      <c r="P340" s="169" t="s">
        <v>805</v>
      </c>
      <c r="Q340" s="185">
        <f t="shared" ref="Q340" si="921">(F340-P340)*24</f>
        <v>9.466666666790843</v>
      </c>
      <c r="R340" s="192">
        <f>Q340-1</f>
        <v>8.466666666790843</v>
      </c>
    </row>
    <row r="341" spans="1:24" s="62" customFormat="1" ht="18" customHeight="1" thickBot="1">
      <c r="A341" s="123" t="s">
        <v>16</v>
      </c>
      <c r="B341" s="124"/>
      <c r="C341" s="166">
        <f>Пробеги!E170</f>
        <v>4772</v>
      </c>
      <c r="D341" s="167">
        <f>C341*2</f>
        <v>9544</v>
      </c>
      <c r="E341" s="168">
        <f>'Бюджет времени'!$D$76-M341-R341</f>
        <v>326.46666666655801</v>
      </c>
      <c r="F341" s="109"/>
      <c r="G341" s="108"/>
      <c r="H341" s="107"/>
      <c r="I341" s="107"/>
      <c r="J341" s="107"/>
      <c r="K341" s="107"/>
      <c r="L341" s="107"/>
      <c r="M341" s="168">
        <f>SUM(M340:M340)</f>
        <v>1.316666666592937</v>
      </c>
      <c r="N341" s="61"/>
      <c r="P341" s="171"/>
      <c r="Q341" s="170">
        <f>SUM(Q340:Q340)</f>
        <v>9.466666666790843</v>
      </c>
      <c r="R341" s="170">
        <f>SUM(R340:R340)</f>
        <v>8.466666666790843</v>
      </c>
    </row>
    <row r="342" spans="1:24" s="62" customFormat="1" ht="18" customHeight="1" thickBot="1">
      <c r="A342" s="189">
        <v>1</v>
      </c>
      <c r="B342" s="190">
        <v>1670</v>
      </c>
      <c r="C342" s="208"/>
      <c r="D342" s="209"/>
      <c r="E342" s="210"/>
      <c r="F342" s="86"/>
      <c r="G342" s="236"/>
      <c r="H342" s="181"/>
      <c r="I342" s="234"/>
      <c r="J342" s="86"/>
      <c r="K342" s="236"/>
      <c r="L342" s="234"/>
      <c r="M342" s="235"/>
      <c r="N342" s="61"/>
      <c r="P342" s="86"/>
      <c r="Q342" s="423"/>
      <c r="R342" s="416"/>
    </row>
    <row r="343" spans="1:24" s="62" customFormat="1" ht="18" customHeight="1" thickBot="1">
      <c r="A343" s="123" t="s">
        <v>16</v>
      </c>
      <c r="B343" s="124"/>
      <c r="C343" s="166">
        <f>Пробеги!E172</f>
        <v>1401</v>
      </c>
      <c r="D343" s="167">
        <f>C343*2</f>
        <v>2802</v>
      </c>
      <c r="E343" s="168">
        <f>'Бюджет времени'!$D$77-M343-R343</f>
        <v>169.43333333329065</v>
      </c>
      <c r="F343" s="109"/>
      <c r="G343" s="108"/>
      <c r="H343" s="107"/>
      <c r="I343" s="107"/>
      <c r="J343" s="107"/>
      <c r="K343" s="107"/>
      <c r="L343" s="107"/>
      <c r="M343" s="436"/>
      <c r="N343" s="61"/>
      <c r="P343" s="437"/>
      <c r="Q343" s="170">
        <f>SUM(Q342:Q342)</f>
        <v>0</v>
      </c>
      <c r="R343" s="170">
        <f>SUM(R342:R342)</f>
        <v>0</v>
      </c>
    </row>
    <row r="344" spans="1:24" s="14" customFormat="1" ht="18" customHeight="1" thickBot="1">
      <c r="A344" s="125" t="s">
        <v>17</v>
      </c>
      <c r="B344" s="125"/>
      <c r="C344" s="172">
        <f>C15+C21+C26+C36+C40+C46+C50+C54+C58+C31+C63+C67+C71+C78+C82+C90+C96+C101+C107+C112+C117+C122+C126+C131+C137+C141+C145+C150+C154+C158+C163+C168+C172+C176+C183+C188+C192+C196+C201+C205+C210+C214+C219+C224+C232+C236+C240+C246+C252+C257+C262+C266+C270+C274+C278+C284+C289+C293+C297+C301+C305+C319+C322+C324+C326+C331+C333+C337+C339+C341+C307+C309+C311+C313+C315+C317+C343</f>
        <v>882118</v>
      </c>
      <c r="D344" s="172">
        <f>D15+D21+D26+D36+D40+D46+D50+D54+D58+D31+D63+D67+D71+D78+D82+D90+D96+D101+D107+D112+D117+D122+D126+D131+D137+D141+D145+D150+D154+D158+D163+D168+D172+D176+D183+D188+D192+D196+D201+D205+D210+D214+D219+D224+D232+D236+D240+D246+D252+D257+D262+D266+D270+D274+D278+D284+D289+D293+D297+D301+D305+D319+D322+D324+D326+D331+D333+D337+D339+D341+D307+D309+D311+D313+D315+D317+D343</f>
        <v>1764236</v>
      </c>
      <c r="E344" s="173">
        <f>E15+E21+E26+E36+E40+E46+E50+E54+E58+E31+E63+E67+E71+E78+E82+E90+E96+E101+E107+E112+E117+E122+E126+E131+E137+E141+E145+E150+E154+E158+E163+E168+E172+E176+E183+E188+E192+E196+E201+E205+E210+E214+E219+E224+E232+E236+E240+E246+E252+E257+E262+E266+E270+E274+E278+E284+E289+E293+E297+E301+E305+E319+E322+E324+E326+E331+E333+E337+E339+E341+E307+E309+E311+E313+E315+E317+E343</f>
        <v>48108.733333332173</v>
      </c>
      <c r="F344" s="110"/>
      <c r="G344" s="111"/>
      <c r="H344" s="112"/>
      <c r="I344" s="112"/>
      <c r="J344" s="112"/>
      <c r="K344" s="112"/>
      <c r="L344" s="112"/>
      <c r="M344" s="173">
        <f>M15+M21+M26+M36+M40+M46+M50+M54+M58+M31+M63+M67+M71+M78+M82+M90+M96+M101+M107+M112+M117+M122+M126+M131+M137+M141+M145+M150+M154+M158+M163+M168+M172+M176+M183+M188+M192+M196+M201+M205+M210+M214+M219+M224+M232+M236+M240+M246+M252+M257+M262+M266+M270+M274+M278+M284+M289+M293+M297+M301+M305+M319+M322+M324+M326+M331+M333+M337+M339+M341+M307+M309+M311+M313+M315+M317+M343</f>
        <v>780.28333333443152</v>
      </c>
      <c r="N344" s="61"/>
      <c r="P344" s="212"/>
      <c r="Q344" s="174">
        <f>SUM(Q15,Q21,Q26,Q31,Q36,Q40,Q46,Q50,Q54,Q58,Q63,Q67,Q71,Q78,Q82,Q90,Q96,Q101,Q107,Q112,Q117,Q122,Q126,Q131,Q137,Q141,Q145,Q150,Q154,Q158,Q163,Q168,Q172,Q176,Q183,Q188,Q192,Q196,Q201,Q205,Q210,Q214,Q219,Q224,Q232,Q236,Q240,Q246,Q252,Q257,Q262,Q266,Q270,Q274,Q278,Q284,Q289,Q293,Q297,Q301,Q305,Q319,Q322,Q324,Q326,Q331,Q333,Q337,Q339,Q341,Q307,Q309,Q311,Q313,Q315,Q317,Q343)</f>
        <v>1545.0000000006985</v>
      </c>
      <c r="R344" s="174">
        <f>SUM(R15,R21,R26,R31,R36,R40,R46,R50,R54,R58,R63,R67,R71,R78,R82,R90,R96,R101,R107,R112,R117,R122,R126,R131,R137,R141,R145,R150,R154,R158,R163,R168,R172,R176,R183,R188,R192,R196,R201,R205,R210,R214,R219,R224,R232,R236,R240,R246,R252,R257,R262,R266,R270,R274,R278,R284,R289,R293,R297,R301,R305,R319,R322,R324,R326,R331,R333,R337,R339,R341,R307,R309,R311,R313,R315,R317,R343)</f>
        <v>745.93333333323244</v>
      </c>
      <c r="S344" s="38"/>
      <c r="U344" s="76"/>
    </row>
    <row r="345" spans="1:24" s="14" customFormat="1" ht="18">
      <c r="A345" s="591" t="s">
        <v>18</v>
      </c>
      <c r="B345" s="591"/>
      <c r="C345" s="591"/>
      <c r="D345" s="591"/>
      <c r="E345" s="591"/>
      <c r="F345" s="591"/>
      <c r="G345" s="591"/>
      <c r="H345" s="591"/>
      <c r="I345" s="591"/>
      <c r="J345" s="591"/>
      <c r="K345" s="591"/>
      <c r="L345" s="591"/>
      <c r="M345" s="591"/>
      <c r="P345" s="66"/>
      <c r="Q345" s="69"/>
      <c r="R345" s="55"/>
      <c r="S345" s="38"/>
      <c r="V345" s="38"/>
    </row>
    <row r="346" spans="1:24" s="14" customFormat="1" ht="18">
      <c r="A346" s="96" t="s">
        <v>50</v>
      </c>
      <c r="B346" s="96"/>
      <c r="C346" s="18"/>
      <c r="D346" s="18"/>
      <c r="E346" s="96"/>
      <c r="F346" s="96"/>
      <c r="G346" s="96"/>
      <c r="H346" s="96"/>
      <c r="I346" s="96"/>
      <c r="J346" s="96"/>
      <c r="K346" s="96"/>
      <c r="P346" s="592"/>
      <c r="Q346" s="592"/>
      <c r="R346" s="592"/>
      <c r="S346" s="39"/>
      <c r="T346" s="40"/>
      <c r="U346" s="41"/>
      <c r="V346" s="42"/>
    </row>
    <row r="347" spans="1:24" s="14" customFormat="1" ht="21" customHeight="1">
      <c r="A347" s="97"/>
      <c r="B347" s="98"/>
      <c r="C347" s="46"/>
      <c r="D347" s="46"/>
      <c r="E347" s="98"/>
      <c r="F347" s="98"/>
      <c r="G347" s="98"/>
      <c r="H347" s="98"/>
      <c r="I347" s="96"/>
      <c r="J347" s="98"/>
      <c r="K347" s="101"/>
      <c r="L347" s="578"/>
      <c r="M347" s="578"/>
      <c r="O347" s="43"/>
      <c r="P347" s="102" t="s">
        <v>37</v>
      </c>
      <c r="Q347" s="102"/>
      <c r="R347" s="102"/>
      <c r="S347" s="102"/>
      <c r="T347" s="102"/>
      <c r="U347" s="102"/>
      <c r="V347" s="102"/>
    </row>
    <row r="348" spans="1:24" s="14" customFormat="1" ht="18">
      <c r="A348" s="591" t="s">
        <v>19</v>
      </c>
      <c r="B348" s="591"/>
      <c r="C348" s="591"/>
      <c r="D348" s="591"/>
      <c r="E348" s="591"/>
      <c r="F348" s="591"/>
      <c r="G348" s="591"/>
      <c r="H348" s="591"/>
      <c r="I348" s="591"/>
      <c r="J348" s="591"/>
      <c r="K348" s="591"/>
      <c r="L348" s="591"/>
      <c r="M348" s="591"/>
      <c r="O348" s="43"/>
      <c r="P348" s="103" t="s">
        <v>38</v>
      </c>
      <c r="Q348" s="103" t="s">
        <v>39</v>
      </c>
      <c r="R348" s="103" t="s">
        <v>40</v>
      </c>
      <c r="S348" s="103" t="s">
        <v>41</v>
      </c>
      <c r="T348" s="103" t="s">
        <v>42</v>
      </c>
      <c r="U348" s="103" t="s">
        <v>43</v>
      </c>
      <c r="V348" s="103" t="s">
        <v>44</v>
      </c>
    </row>
    <row r="349" spans="1:24" s="14" customFormat="1" ht="19">
      <c r="A349" s="45"/>
      <c r="B349" s="46"/>
      <c r="C349" s="46"/>
      <c r="D349" s="46"/>
      <c r="E349" s="46"/>
      <c r="F349" s="46"/>
      <c r="G349" s="46"/>
      <c r="I349" s="33"/>
      <c r="J349" s="92"/>
      <c r="K349" s="33"/>
      <c r="L349" s="67"/>
      <c r="M349" s="33"/>
      <c r="O349" s="43"/>
      <c r="P349" s="385" t="s">
        <v>45</v>
      </c>
      <c r="Q349" s="385">
        <v>1660</v>
      </c>
      <c r="R349" s="388" t="s">
        <v>919</v>
      </c>
      <c r="S349" s="387" t="s">
        <v>51</v>
      </c>
      <c r="T349" s="388" t="s">
        <v>920</v>
      </c>
      <c r="U349" s="390" t="s">
        <v>1010</v>
      </c>
      <c r="V349" s="389">
        <f>(T349-R349)*24</f>
        <v>0.44999999989522621</v>
      </c>
      <c r="X349" s="94"/>
    </row>
    <row r="350" spans="1:24" s="14" customFormat="1" ht="19">
      <c r="A350" s="96" t="s">
        <v>20</v>
      </c>
      <c r="B350" s="96"/>
      <c r="C350" s="18"/>
      <c r="D350" s="18"/>
      <c r="E350" s="137">
        <f>E344</f>
        <v>48108.733333332173</v>
      </c>
      <c r="F350" s="96"/>
      <c r="G350" s="138"/>
      <c r="H350" s="139"/>
      <c r="I350" s="140"/>
      <c r="J350" s="141"/>
      <c r="K350" s="19"/>
      <c r="L350" s="33"/>
      <c r="M350" s="142"/>
      <c r="N350" s="18"/>
      <c r="O350" s="18"/>
      <c r="P350" s="385" t="s">
        <v>45</v>
      </c>
      <c r="Q350" s="385">
        <v>1545</v>
      </c>
      <c r="R350" s="388" t="s">
        <v>869</v>
      </c>
      <c r="S350" s="387" t="s">
        <v>51</v>
      </c>
      <c r="T350" s="388" t="s">
        <v>870</v>
      </c>
      <c r="U350" s="390" t="s">
        <v>1010</v>
      </c>
      <c r="V350" s="389">
        <f>(T350-R350)*24</f>
        <v>0.83333333325572312</v>
      </c>
      <c r="X350" s="94"/>
    </row>
    <row r="351" spans="1:24" s="14" customFormat="1" ht="18">
      <c r="A351" s="96" t="s">
        <v>47</v>
      </c>
      <c r="B351" s="96"/>
      <c r="C351" s="18"/>
      <c r="D351" s="18"/>
      <c r="E351" s="137">
        <f>M344-M18-M43-M92-M102-M221-M229-M248-M250-M254-M86-M88-M74-M75-M143-M244-M287-M318-M327-M328-M187-M181-M261-M321-M330-M316-M25-M111</f>
        <v>689.63333333440823</v>
      </c>
      <c r="F351" s="96"/>
      <c r="G351" s="143"/>
      <c r="H351" s="144"/>
      <c r="I351" s="145"/>
      <c r="J351" s="140"/>
      <c r="K351" s="146"/>
      <c r="L351" s="33"/>
      <c r="M351" s="33"/>
      <c r="O351" s="43"/>
      <c r="P351" s="385"/>
      <c r="Q351" s="502"/>
      <c r="R351" s="503"/>
      <c r="S351" s="387"/>
      <c r="T351" s="504"/>
      <c r="U351" s="391"/>
      <c r="V351" s="389"/>
    </row>
    <row r="352" spans="1:24" s="14" customFormat="1" ht="18">
      <c r="A352" s="96" t="s">
        <v>21</v>
      </c>
      <c r="B352" s="96"/>
      <c r="C352" s="18"/>
      <c r="D352" s="18"/>
      <c r="E352" s="137">
        <f>M254+M250+M221+M102+M92+M18+M143+M244+M181+M25+M111</f>
        <v>40.266666666779201</v>
      </c>
      <c r="F352" s="96"/>
      <c r="G352" s="147"/>
      <c r="H352" s="148"/>
      <c r="I352" s="149"/>
      <c r="J352" s="150"/>
      <c r="K352" s="146"/>
      <c r="L352" s="151"/>
      <c r="M352" s="33"/>
      <c r="O352" s="43"/>
      <c r="P352" s="385"/>
      <c r="Q352" s="385"/>
      <c r="R352" s="169"/>
      <c r="S352" s="386"/>
      <c r="T352" s="505"/>
      <c r="U352" s="390"/>
      <c r="V352" s="389"/>
    </row>
    <row r="353" spans="1:24" s="14" customFormat="1" ht="18">
      <c r="A353" s="96" t="s">
        <v>22</v>
      </c>
      <c r="B353" s="96"/>
      <c r="C353" s="18"/>
      <c r="D353" s="18"/>
      <c r="E353" s="137">
        <f>M248+M229+M43+M86+M88+M328+M327+M287+M74+M75+M318+M187+M261+M330+M321+M316</f>
        <v>50.383333333244082</v>
      </c>
      <c r="F353" s="96"/>
      <c r="G353" s="152"/>
      <c r="H353" s="141"/>
      <c r="I353" s="153"/>
      <c r="J353" s="150"/>
      <c r="K353" s="140"/>
      <c r="L353" s="151"/>
      <c r="M353" s="151"/>
      <c r="N353" s="18"/>
      <c r="O353" s="18"/>
      <c r="P353" s="385"/>
      <c r="Q353" s="385"/>
      <c r="R353" s="503"/>
      <c r="S353" s="387"/>
      <c r="T353" s="506"/>
      <c r="U353" s="390"/>
      <c r="V353" s="389"/>
    </row>
    <row r="354" spans="1:24" s="14" customFormat="1" ht="18">
      <c r="A354" s="96" t="s">
        <v>23</v>
      </c>
      <c r="B354" s="96"/>
      <c r="C354" s="18"/>
      <c r="D354" s="18"/>
      <c r="E354" s="137">
        <f>R344</f>
        <v>745.93333333323244</v>
      </c>
      <c r="F354" s="96"/>
      <c r="G354" s="147"/>
      <c r="H354" s="148"/>
      <c r="I354" s="149"/>
      <c r="J354" s="141"/>
      <c r="K354" s="154"/>
      <c r="L354" s="151"/>
      <c r="M354" s="155"/>
      <c r="P354" s="385"/>
      <c r="Q354" s="385"/>
      <c r="R354" s="396"/>
      <c r="S354" s="387"/>
      <c r="T354" s="396"/>
      <c r="U354" s="390"/>
      <c r="V354" s="389"/>
    </row>
    <row r="355" spans="1:24" s="14" customFormat="1" ht="18">
      <c r="A355" s="591" t="s">
        <v>53</v>
      </c>
      <c r="B355" s="591"/>
      <c r="C355" s="591"/>
      <c r="D355" s="591"/>
      <c r="E355" s="137">
        <f>(E350)/(E350+E351+E353+E354)</f>
        <v>0.97003811900534576</v>
      </c>
      <c r="F355" s="96"/>
      <c r="G355" s="156"/>
      <c r="H355" s="157"/>
      <c r="I355" s="143"/>
      <c r="J355" s="143"/>
      <c r="K355" s="158"/>
      <c r="L355" s="578"/>
      <c r="M355" s="578"/>
      <c r="N355" s="18"/>
      <c r="O355" s="18"/>
      <c r="P355" s="385"/>
      <c r="Q355" s="385"/>
      <c r="R355" s="507"/>
      <c r="S355" s="387"/>
      <c r="T355" s="507"/>
      <c r="U355" s="390"/>
      <c r="V355" s="389"/>
    </row>
    <row r="356" spans="1:24" s="14" customFormat="1" ht="39.75" customHeight="1">
      <c r="A356" s="97"/>
      <c r="B356" s="98"/>
      <c r="C356" s="46"/>
      <c r="D356" s="46"/>
      <c r="E356" s="98"/>
      <c r="F356" s="98"/>
      <c r="G356" s="143"/>
      <c r="H356" s="145"/>
      <c r="I356" s="99"/>
      <c r="J356" s="159"/>
      <c r="K356" s="158"/>
      <c r="L356" s="142"/>
      <c r="M356" s="33"/>
      <c r="P356" s="508"/>
      <c r="Q356" s="508"/>
      <c r="R356" s="509"/>
      <c r="S356" s="510"/>
      <c r="T356" s="509"/>
      <c r="U356" s="511"/>
      <c r="V356" s="512"/>
    </row>
    <row r="357" spans="1:24" s="14" customFormat="1" ht="24.75" customHeight="1">
      <c r="A357" s="579"/>
      <c r="B357" s="579"/>
      <c r="C357" s="48"/>
      <c r="D357" s="48"/>
      <c r="E357" s="593"/>
      <c r="F357" s="593"/>
      <c r="G357" s="17"/>
      <c r="H357" s="579"/>
      <c r="I357" s="579"/>
      <c r="J357" s="17"/>
      <c r="K357" s="17"/>
      <c r="L357" s="594"/>
      <c r="M357" s="594"/>
      <c r="P357" s="508"/>
      <c r="Q357" s="508"/>
      <c r="R357" s="509"/>
      <c r="S357" s="510"/>
      <c r="T357" s="509"/>
      <c r="U357" s="513"/>
      <c r="V357" s="512"/>
    </row>
    <row r="358" spans="1:24" s="14" customFormat="1" ht="39.75" customHeight="1">
      <c r="A358" s="17"/>
      <c r="B358" s="17"/>
      <c r="C358" s="615"/>
      <c r="D358" s="615"/>
      <c r="E358" s="17"/>
      <c r="F358" s="17"/>
      <c r="G358" s="17"/>
      <c r="H358" s="98"/>
      <c r="I358" s="99"/>
      <c r="J358" s="98"/>
      <c r="K358" s="98"/>
      <c r="L358" s="46"/>
      <c r="M358" s="104"/>
      <c r="P358" s="584" t="s">
        <v>54</v>
      </c>
      <c r="Q358" s="585"/>
      <c r="R358" s="585"/>
      <c r="S358" s="585"/>
      <c r="T358" s="585"/>
      <c r="U358" s="585"/>
      <c r="V358" s="586"/>
    </row>
    <row r="359" spans="1:24" s="14" customFormat="1" ht="18.75" customHeight="1">
      <c r="A359" s="579"/>
      <c r="B359" s="579"/>
      <c r="C359" s="616"/>
      <c r="D359" s="616"/>
      <c r="E359" s="44"/>
      <c r="F359" s="44"/>
      <c r="G359" s="44"/>
      <c r="H359" s="579"/>
      <c r="I359" s="579"/>
      <c r="J359" s="16"/>
      <c r="K359" s="17"/>
      <c r="L359" s="48"/>
      <c r="M359" s="104"/>
      <c r="P359" s="19"/>
      <c r="Q359" s="19"/>
      <c r="R359" s="19"/>
      <c r="S359" s="19"/>
      <c r="T359" s="19"/>
      <c r="U359" s="19"/>
      <c r="V359" s="19"/>
    </row>
    <row r="360" spans="1:24" s="14" customFormat="1" ht="19">
      <c r="A360" s="17"/>
      <c r="B360" s="17"/>
      <c r="C360" s="590"/>
      <c r="D360" s="590"/>
      <c r="E360" s="17"/>
      <c r="F360" s="17"/>
      <c r="G360" s="17"/>
      <c r="H360" s="98"/>
      <c r="I360" s="99"/>
      <c r="J360" s="589"/>
      <c r="K360" s="589"/>
      <c r="L360" s="46"/>
      <c r="M360" s="104"/>
      <c r="P360" s="19"/>
      <c r="Q360" s="19"/>
      <c r="R360" s="19"/>
      <c r="S360" s="19"/>
      <c r="T360" s="19"/>
      <c r="U360" s="19"/>
      <c r="V360" s="19"/>
    </row>
    <row r="361" spans="1:24" s="14" customFormat="1" ht="19">
      <c r="A361" s="44"/>
      <c r="B361" s="44"/>
      <c r="C361" s="135"/>
      <c r="D361" s="135"/>
      <c r="E361" s="44"/>
      <c r="F361" s="19"/>
      <c r="G361" s="44"/>
      <c r="H361" s="98"/>
      <c r="I361" s="99"/>
      <c r="J361" s="98"/>
      <c r="K361" s="98"/>
      <c r="L361" s="46"/>
      <c r="M361" s="104"/>
      <c r="P361" s="385" t="s">
        <v>45</v>
      </c>
      <c r="Q361" s="385">
        <v>1660</v>
      </c>
      <c r="R361" s="396" t="s">
        <v>918</v>
      </c>
      <c r="S361" s="386" t="s">
        <v>991</v>
      </c>
      <c r="T361" s="396" t="s">
        <v>990</v>
      </c>
      <c r="U361" s="390" t="s">
        <v>1010</v>
      </c>
      <c r="V361" s="389">
        <f>(T361-R361)*24</f>
        <v>10.716666666674428</v>
      </c>
    </row>
    <row r="362" spans="1:24" s="14" customFormat="1" ht="19">
      <c r="A362" s="100"/>
      <c r="B362" s="19"/>
      <c r="E362" s="19"/>
      <c r="F362" s="19"/>
      <c r="G362" s="19"/>
      <c r="H362" s="19"/>
      <c r="I362" s="59"/>
      <c r="J362" s="19"/>
      <c r="K362" s="19"/>
      <c r="M362" s="69"/>
      <c r="P362" s="385" t="s">
        <v>45</v>
      </c>
      <c r="Q362" s="385">
        <v>1545</v>
      </c>
      <c r="R362" s="396" t="s">
        <v>868</v>
      </c>
      <c r="S362" s="386" t="s">
        <v>991</v>
      </c>
      <c r="T362" s="396" t="s">
        <v>1011</v>
      </c>
      <c r="U362" s="390" t="s">
        <v>1010</v>
      </c>
      <c r="V362" s="389">
        <f>(T362-R362)*24</f>
        <v>14.983333333279006</v>
      </c>
      <c r="W362" s="95"/>
    </row>
    <row r="363" spans="1:24" s="14" customFormat="1" ht="18">
      <c r="A363" s="19"/>
      <c r="B363" s="19"/>
      <c r="E363" s="27"/>
      <c r="F363" s="27"/>
      <c r="G363" s="27"/>
      <c r="H363" s="27"/>
      <c r="I363" s="27"/>
      <c r="J363" s="27"/>
      <c r="K363" s="19"/>
      <c r="M363" s="69"/>
      <c r="P363" s="93"/>
      <c r="Q363" s="93"/>
      <c r="R363" s="220"/>
      <c r="S363" s="218"/>
      <c r="T363" s="219"/>
      <c r="U363" s="217"/>
      <c r="V363" s="133"/>
    </row>
    <row r="364" spans="1:24" s="14" customFormat="1" ht="18">
      <c r="E364" s="65"/>
      <c r="F364" s="65"/>
      <c r="G364" s="65"/>
      <c r="H364" s="65"/>
      <c r="I364" s="65"/>
      <c r="J364" s="65"/>
      <c r="M364" s="69"/>
      <c r="P364" s="93"/>
      <c r="Q364" s="93"/>
      <c r="R364" s="220"/>
      <c r="S364" s="218"/>
      <c r="T364" s="219"/>
      <c r="U364" s="217"/>
      <c r="V364" s="133"/>
    </row>
    <row r="365" spans="1:24" s="14" customFormat="1" ht="18">
      <c r="E365" s="65"/>
      <c r="F365" s="65"/>
      <c r="G365" s="65"/>
      <c r="H365" s="65"/>
      <c r="I365" s="65"/>
      <c r="J365" s="65"/>
      <c r="L365" s="580"/>
      <c r="M365" s="580"/>
      <c r="P365" s="227"/>
      <c r="Q365" s="227"/>
      <c r="R365" s="228"/>
      <c r="S365" s="229"/>
      <c r="T365" s="228"/>
      <c r="U365" s="226"/>
      <c r="V365" s="230"/>
      <c r="X365" s="72"/>
    </row>
    <row r="366" spans="1:24" s="14" customFormat="1" ht="18">
      <c r="E366" s="71"/>
      <c r="F366" s="71"/>
      <c r="G366" s="71"/>
      <c r="H366" s="71"/>
      <c r="I366" s="71"/>
      <c r="J366" s="71"/>
      <c r="M366" s="69"/>
      <c r="P366" s="221"/>
      <c r="Q366" s="221"/>
      <c r="R366" s="222"/>
      <c r="S366" s="223"/>
      <c r="T366" s="222"/>
      <c r="U366" s="224"/>
      <c r="V366" s="225"/>
    </row>
    <row r="367" spans="1:24" s="14" customFormat="1" ht="18">
      <c r="E367" s="65"/>
      <c r="F367" s="65"/>
      <c r="G367" s="65"/>
      <c r="H367" s="65"/>
      <c r="I367" s="70"/>
      <c r="P367" s="221"/>
      <c r="Q367" s="221"/>
      <c r="R367" s="222"/>
      <c r="S367" s="223"/>
      <c r="T367" s="222"/>
      <c r="U367" s="231"/>
      <c r="V367" s="232"/>
    </row>
    <row r="368" spans="1:24" s="14" customFormat="1" ht="18">
      <c r="E368" s="71"/>
      <c r="F368" s="71"/>
      <c r="G368" s="71"/>
      <c r="H368" s="71"/>
      <c r="I368" s="71"/>
      <c r="M368" s="69"/>
      <c r="P368" s="70"/>
      <c r="Q368" s="70"/>
      <c r="R368" s="213"/>
      <c r="S368" s="214"/>
      <c r="T368" s="213"/>
      <c r="U368" s="215"/>
      <c r="V368" s="216"/>
    </row>
    <row r="369" spans="9:22" s="14" customFormat="1" ht="18">
      <c r="I369" s="69"/>
      <c r="M369" s="69"/>
      <c r="P369" s="588" t="s">
        <v>46</v>
      </c>
      <c r="Q369" s="588"/>
      <c r="R369" s="588"/>
      <c r="S369" s="588"/>
      <c r="T369" s="588"/>
      <c r="U369" s="588"/>
      <c r="V369" s="588"/>
    </row>
    <row r="370" spans="9:22" s="14" customFormat="1" ht="19">
      <c r="I370" s="69"/>
      <c r="M370" s="69"/>
      <c r="P370" s="385" t="s">
        <v>45</v>
      </c>
      <c r="Q370" s="385">
        <v>1661</v>
      </c>
      <c r="R370" s="169" t="s">
        <v>826</v>
      </c>
      <c r="S370" s="386" t="s">
        <v>825</v>
      </c>
      <c r="T370" s="169" t="s">
        <v>827</v>
      </c>
      <c r="U370" s="390" t="s">
        <v>828</v>
      </c>
      <c r="V370" s="389">
        <f>(T370-R370)*24</f>
        <v>23.06666666676756</v>
      </c>
    </row>
    <row r="371" spans="9:22" s="14" customFormat="1" ht="18.75" customHeight="1">
      <c r="I371" s="69"/>
      <c r="M371" s="69"/>
      <c r="P371" s="385" t="s">
        <v>45</v>
      </c>
      <c r="Q371" s="385">
        <v>1627</v>
      </c>
      <c r="R371" s="169" t="s">
        <v>831</v>
      </c>
      <c r="S371" s="386" t="s">
        <v>829</v>
      </c>
      <c r="T371" s="169" t="s">
        <v>832</v>
      </c>
      <c r="U371" s="390" t="s">
        <v>830</v>
      </c>
      <c r="V371" s="389">
        <f>(T371-R371)*24</f>
        <v>10.200000000069849</v>
      </c>
    </row>
    <row r="372" spans="9:22" s="14" customFormat="1" ht="18.75" customHeight="1">
      <c r="I372" s="69"/>
      <c r="M372" s="69"/>
      <c r="P372" s="385" t="s">
        <v>45</v>
      </c>
      <c r="Q372" s="385">
        <v>1662</v>
      </c>
      <c r="R372" s="169" t="s">
        <v>987</v>
      </c>
      <c r="S372" s="386" t="s">
        <v>829</v>
      </c>
      <c r="T372" s="169" t="s">
        <v>988</v>
      </c>
      <c r="U372" s="391" t="s">
        <v>989</v>
      </c>
      <c r="V372" s="389">
        <f>(T372-R372)*24</f>
        <v>1.8999999999068677</v>
      </c>
    </row>
    <row r="373" spans="9:22" s="14" customFormat="1" ht="15" customHeight="1">
      <c r="I373" s="69"/>
      <c r="M373" s="69"/>
    </row>
    <row r="374" spans="9:22" s="14" customFormat="1" ht="15" customHeight="1">
      <c r="I374" s="69"/>
      <c r="M374" s="69"/>
      <c r="P374" s="27"/>
      <c r="Q374" s="27"/>
      <c r="R374" s="392"/>
      <c r="S374" s="393"/>
      <c r="T374" s="392"/>
      <c r="U374" s="394"/>
      <c r="V374" s="395"/>
    </row>
    <row r="375" spans="9:22" s="14" customFormat="1" ht="15" customHeight="1">
      <c r="I375" s="69"/>
      <c r="M375" s="69"/>
      <c r="P375" s="19"/>
      <c r="Q375" s="59"/>
      <c r="R375" s="19"/>
      <c r="S375" s="19"/>
      <c r="T375" s="19"/>
      <c r="U375" s="19"/>
      <c r="V375" s="19"/>
    </row>
    <row r="376" spans="9:22" s="14" customFormat="1" ht="15" customHeight="1">
      <c r="I376" s="69"/>
      <c r="M376" s="69"/>
      <c r="P376" s="587" t="s">
        <v>48</v>
      </c>
      <c r="Q376" s="587"/>
      <c r="R376" s="587"/>
      <c r="S376" s="587"/>
      <c r="T376" s="587"/>
      <c r="U376" s="587"/>
      <c r="V376" s="587"/>
    </row>
    <row r="377" spans="9:22" s="14" customFormat="1" ht="18">
      <c r="I377" s="69"/>
      <c r="M377" s="69"/>
      <c r="P377" s="385"/>
      <c r="Q377" s="385"/>
      <c r="R377" s="396"/>
      <c r="S377" s="386"/>
      <c r="T377" s="396"/>
      <c r="U377" s="391"/>
      <c r="V377" s="389"/>
    </row>
    <row r="378" spans="9:22" s="14" customFormat="1" ht="18">
      <c r="I378" s="69"/>
      <c r="M378" s="69"/>
      <c r="P378" s="93"/>
      <c r="Q378" s="93"/>
      <c r="R378" s="86"/>
      <c r="S378" s="77"/>
      <c r="T378" s="86"/>
      <c r="U378" s="78"/>
      <c r="V378" s="133"/>
    </row>
    <row r="379" spans="9:22" s="14" customFormat="1">
      <c r="I379" s="69"/>
      <c r="M379" s="69"/>
    </row>
    <row r="380" spans="9:22">
      <c r="P380" s="14"/>
      <c r="Q380" s="69"/>
      <c r="R380" s="14"/>
      <c r="S380" s="14"/>
      <c r="T380" s="14"/>
      <c r="U380" s="14"/>
      <c r="V380" s="14"/>
    </row>
    <row r="381" spans="9:22" ht="18">
      <c r="P381" s="581" t="s">
        <v>49</v>
      </c>
      <c r="Q381" s="582"/>
      <c r="R381" s="582"/>
      <c r="S381" s="582"/>
      <c r="T381" s="582"/>
      <c r="U381" s="582"/>
      <c r="V381" s="583"/>
    </row>
    <row r="382" spans="9:22" ht="18">
      <c r="P382" s="221"/>
      <c r="Q382" s="221"/>
      <c r="R382" s="233"/>
      <c r="S382" s="223"/>
      <c r="T382" s="233"/>
      <c r="U382" s="224"/>
      <c r="V382" s="225"/>
    </row>
    <row r="383" spans="9:22" ht="18">
      <c r="P383" s="70"/>
      <c r="Q383" s="70"/>
      <c r="R383" s="65"/>
      <c r="S383" s="214"/>
      <c r="T383" s="65"/>
      <c r="U383" s="215"/>
      <c r="V383" s="216"/>
    </row>
    <row r="384" spans="9:22" ht="18">
      <c r="P384" s="70"/>
      <c r="Q384" s="70"/>
      <c r="R384" s="65"/>
      <c r="S384" s="214"/>
      <c r="T384" s="65"/>
      <c r="U384" s="215"/>
      <c r="V384" s="216"/>
    </row>
    <row r="385" spans="16:22" ht="18">
      <c r="P385" s="70"/>
      <c r="Q385" s="70"/>
      <c r="R385" s="65"/>
      <c r="S385" s="214"/>
      <c r="T385" s="65"/>
      <c r="U385" s="215"/>
      <c r="V385" s="216"/>
    </row>
    <row r="387" spans="16:22" ht="18">
      <c r="P387" s="70"/>
      <c r="Q387" s="70"/>
      <c r="R387" s="213"/>
      <c r="S387" s="214"/>
      <c r="T387" s="213"/>
      <c r="U387" s="215"/>
      <c r="V387" s="216"/>
    </row>
    <row r="398" spans="16:22" ht="18">
      <c r="P398" s="70"/>
      <c r="Q398" s="70"/>
      <c r="R398" s="213"/>
      <c r="S398" s="214"/>
      <c r="T398" s="213"/>
      <c r="U398" s="215"/>
      <c r="V398" s="216"/>
    </row>
    <row r="399" spans="16:22" ht="18">
      <c r="P399" s="70"/>
      <c r="Q399" s="70"/>
      <c r="R399" s="213"/>
      <c r="S399" s="214"/>
      <c r="T399" s="213"/>
      <c r="U399" s="215"/>
      <c r="V399" s="216"/>
    </row>
    <row r="402" spans="12:13" ht="18">
      <c r="L402" s="578"/>
      <c r="M402" s="578"/>
    </row>
    <row r="427" spans="19:22">
      <c r="S427" s="20">
        <f>DATE(2026, 3,1)</f>
        <v>46082</v>
      </c>
      <c r="T427" s="21"/>
      <c r="U427" s="22">
        <f>DATE(2026,1,1)</f>
        <v>46023</v>
      </c>
      <c r="V427" s="23" t="s">
        <v>32</v>
      </c>
    </row>
    <row r="428" spans="19:22">
      <c r="S428" s="24"/>
      <c r="T428" s="24"/>
      <c r="U428" s="25">
        <f>DATE(2026,2,1)</f>
        <v>46054</v>
      </c>
      <c r="V428" s="26" t="s">
        <v>25</v>
      </c>
    </row>
    <row r="429" spans="19:22">
      <c r="S429" s="24"/>
      <c r="T429" s="24"/>
      <c r="U429" s="25"/>
      <c r="V429" s="26"/>
    </row>
    <row r="430" spans="19:22">
      <c r="S430" s="24"/>
      <c r="T430" s="24"/>
      <c r="U430" s="25"/>
      <c r="V430" s="26"/>
    </row>
    <row r="431" spans="19:22">
      <c r="S431" s="21"/>
      <c r="T431" s="21"/>
      <c r="U431" s="25">
        <f>DATE(2026,3,1)</f>
        <v>46082</v>
      </c>
      <c r="V431" s="26" t="s">
        <v>26</v>
      </c>
    </row>
    <row r="432" spans="19:22">
      <c r="S432" s="21"/>
      <c r="T432" s="21"/>
      <c r="U432" s="25">
        <f>DATE(2026,4,1)</f>
        <v>46113</v>
      </c>
      <c r="V432" s="26" t="s">
        <v>36</v>
      </c>
    </row>
    <row r="433" spans="19:22">
      <c r="S433" s="24"/>
      <c r="T433" s="24"/>
      <c r="U433" s="22">
        <f>DATE(2026,5,1)</f>
        <v>46143</v>
      </c>
      <c r="V433" s="23" t="s">
        <v>35</v>
      </c>
    </row>
    <row r="434" spans="19:22">
      <c r="S434" s="24"/>
      <c r="T434" s="24"/>
      <c r="U434" s="22"/>
      <c r="V434" s="23"/>
    </row>
    <row r="435" spans="19:22">
      <c r="S435" s="21"/>
      <c r="T435" s="21"/>
      <c r="U435" s="22">
        <f>DATE(2026,6,1)</f>
        <v>46174</v>
      </c>
      <c r="V435" s="23" t="s">
        <v>27</v>
      </c>
    </row>
    <row r="436" spans="19:22">
      <c r="S436" s="21"/>
      <c r="T436" s="21"/>
      <c r="U436" s="22"/>
      <c r="V436" s="23"/>
    </row>
    <row r="437" spans="19:22">
      <c r="S437" s="21"/>
      <c r="T437" s="21"/>
      <c r="U437" s="22">
        <f>DATE(2026,7,1)</f>
        <v>46204</v>
      </c>
      <c r="V437" s="23" t="s">
        <v>28</v>
      </c>
    </row>
    <row r="438" spans="19:22">
      <c r="S438" s="21"/>
      <c r="T438" s="21"/>
      <c r="U438" s="25">
        <f>DATE(2026,8,1)</f>
        <v>46235</v>
      </c>
      <c r="V438" s="26" t="s">
        <v>29</v>
      </c>
    </row>
    <row r="439" spans="19:22">
      <c r="S439" s="21"/>
      <c r="T439" s="21"/>
      <c r="U439" s="22">
        <f>DATE(2026,9,1)</f>
        <v>46266</v>
      </c>
      <c r="V439" s="23" t="s">
        <v>30</v>
      </c>
    </row>
    <row r="440" spans="19:22">
      <c r="S440" s="21"/>
      <c r="T440" s="21"/>
      <c r="U440" s="22">
        <f>DATE(2026,10,1)</f>
        <v>46296</v>
      </c>
      <c r="V440" s="23" t="s">
        <v>34</v>
      </c>
    </row>
    <row r="441" spans="19:22">
      <c r="S441" s="21"/>
      <c r="T441" s="21"/>
      <c r="U441" s="22">
        <f>DATE(2026,11,1)</f>
        <v>46327</v>
      </c>
      <c r="V441" s="23" t="s">
        <v>24</v>
      </c>
    </row>
    <row r="442" spans="19:22">
      <c r="S442" s="21"/>
      <c r="T442" s="21"/>
      <c r="U442" s="22">
        <f>DATE(2026,12,1)</f>
        <v>46357</v>
      </c>
      <c r="V442" s="23" t="s">
        <v>31</v>
      </c>
    </row>
    <row r="457" spans="16:22">
      <c r="P457" s="19"/>
      <c r="R457" s="19"/>
      <c r="S457" s="19"/>
      <c r="T457" s="19"/>
      <c r="U457" s="19"/>
      <c r="V457" s="19"/>
    </row>
    <row r="458" spans="16:22">
      <c r="P458" s="19"/>
      <c r="R458" s="19"/>
      <c r="S458" s="19"/>
      <c r="T458" s="19"/>
      <c r="U458" s="19"/>
      <c r="V458" s="19"/>
    </row>
    <row r="459" spans="16:22">
      <c r="P459" s="19"/>
      <c r="R459" s="19"/>
      <c r="S459" s="19"/>
      <c r="T459" s="19"/>
      <c r="U459" s="19"/>
      <c r="V459" s="19"/>
    </row>
    <row r="463" spans="16:22" ht="18">
      <c r="P463" s="106"/>
      <c r="Q463" s="106"/>
      <c r="R463" s="106"/>
      <c r="S463" s="106"/>
      <c r="T463" s="106"/>
      <c r="U463" s="106"/>
      <c r="V463" s="106"/>
    </row>
    <row r="464" spans="16:22" ht="18">
      <c r="P464" s="106"/>
      <c r="Q464" s="106"/>
      <c r="R464" s="106"/>
      <c r="S464" s="106"/>
      <c r="T464" s="106"/>
      <c r="U464" s="106"/>
      <c r="V464" s="106"/>
    </row>
    <row r="465" spans="16:22" ht="18">
      <c r="P465" s="106"/>
      <c r="Q465" s="106"/>
      <c r="R465" s="106"/>
      <c r="S465" s="106"/>
      <c r="T465" s="106"/>
      <c r="U465" s="106"/>
      <c r="V465" s="106"/>
    </row>
    <row r="466" spans="16:22" ht="18">
      <c r="P466" s="106"/>
      <c r="Q466" s="106"/>
      <c r="R466" s="106"/>
      <c r="S466" s="106"/>
      <c r="T466" s="106"/>
      <c r="U466" s="106"/>
      <c r="V466" s="106"/>
    </row>
    <row r="467" spans="16:22" ht="18">
      <c r="P467" s="106"/>
      <c r="Q467" s="106"/>
      <c r="R467" s="106"/>
      <c r="S467" s="106"/>
      <c r="T467" s="106"/>
      <c r="U467" s="106"/>
      <c r="V467" s="106"/>
    </row>
    <row r="468" spans="16:22" ht="18">
      <c r="P468" s="106"/>
      <c r="Q468" s="106"/>
      <c r="R468" s="106"/>
      <c r="S468" s="106"/>
      <c r="T468" s="106"/>
      <c r="U468" s="106"/>
      <c r="V468" s="106"/>
    </row>
  </sheetData>
  <mergeCells count="42">
    <mergeCell ref="A4:B4"/>
    <mergeCell ref="C4:M4"/>
    <mergeCell ref="C5:D5"/>
    <mergeCell ref="L226:M226"/>
    <mergeCell ref="A1:M1"/>
    <mergeCell ref="A2:B2"/>
    <mergeCell ref="C2:M2"/>
    <mergeCell ref="C3:D3"/>
    <mergeCell ref="G3:H3"/>
    <mergeCell ref="A345:M345"/>
    <mergeCell ref="L133:M133"/>
    <mergeCell ref="G5:H5"/>
    <mergeCell ref="B7:C7"/>
    <mergeCell ref="E7:F7"/>
    <mergeCell ref="E6:F6"/>
    <mergeCell ref="A8:E8"/>
    <mergeCell ref="F8:I8"/>
    <mergeCell ref="L280:M280"/>
    <mergeCell ref="L178:M178"/>
    <mergeCell ref="L42:M42"/>
    <mergeCell ref="L84:M84"/>
    <mergeCell ref="L335:M335"/>
    <mergeCell ref="A348:M348"/>
    <mergeCell ref="P346:R346"/>
    <mergeCell ref="H357:I357"/>
    <mergeCell ref="C355:D355"/>
    <mergeCell ref="A355:B355"/>
    <mergeCell ref="A357:B357"/>
    <mergeCell ref="E357:F357"/>
    <mergeCell ref="L357:M357"/>
    <mergeCell ref="L347:M347"/>
    <mergeCell ref="L355:M355"/>
    <mergeCell ref="L402:M402"/>
    <mergeCell ref="A359:B359"/>
    <mergeCell ref="L365:M365"/>
    <mergeCell ref="P381:V381"/>
    <mergeCell ref="P358:V358"/>
    <mergeCell ref="P376:V376"/>
    <mergeCell ref="P369:V369"/>
    <mergeCell ref="J360:K360"/>
    <mergeCell ref="H359:I359"/>
    <mergeCell ref="C360:D360"/>
  </mergeCells>
  <phoneticPr fontId="86" type="noConversion"/>
  <conditionalFormatting sqref="H329 H87 H76:H85 H331:H1048576 H89:H326 H1:H73">
    <cfRule type="duplicateValues" dxfId="0" priority="2"/>
  </conditionalFormatting>
  <printOptions horizontalCentered="1" verticalCentered="1"/>
  <pageMargins left="0.59055118110236227" right="0" top="0.55118110236220474" bottom="0" header="0" footer="0"/>
  <pageSetup paperSize="9" scale="51" fitToHeight="0" orientation="landscape" r:id="rId1"/>
  <rowBreaks count="9" manualBreakCount="9">
    <brk id="42" max="12" man="1"/>
    <brk id="84" max="12" man="1"/>
    <brk id="133" max="12" man="1"/>
    <brk id="178" max="12" man="1"/>
    <brk id="226" max="12" man="1"/>
    <brk id="280" max="12" man="1"/>
    <brk id="335" max="12" man="1"/>
    <brk id="365" max="12" man="1"/>
    <brk id="406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/>
  <dimension ref="A1:F78"/>
  <sheetViews>
    <sheetView topLeftCell="A55" zoomScale="130" zoomScaleNormal="130" workbookViewId="0">
      <selection activeCell="F19" sqref="F19"/>
    </sheetView>
  </sheetViews>
  <sheetFormatPr baseColWidth="10" defaultColWidth="8.83203125" defaultRowHeight="15"/>
  <cols>
    <col min="1" max="1" width="6.1640625" customWidth="1"/>
    <col min="2" max="3" width="17" style="82" customWidth="1"/>
    <col min="4" max="4" width="13.33203125" style="116" customWidth="1"/>
  </cols>
  <sheetData>
    <row r="1" spans="1:4">
      <c r="A1" s="113">
        <v>1539</v>
      </c>
      <c r="B1" s="114">
        <v>46081.75</v>
      </c>
      <c r="C1" s="114">
        <v>46112.75</v>
      </c>
      <c r="D1" s="115">
        <f t="shared" ref="D1:D10" si="0">(C1-B1)*24</f>
        <v>744</v>
      </c>
    </row>
    <row r="2" spans="1:4">
      <c r="A2" s="113">
        <v>1540</v>
      </c>
      <c r="B2" s="114">
        <v>46081.75</v>
      </c>
      <c r="C2" s="114">
        <v>46112.75</v>
      </c>
      <c r="D2" s="115">
        <f t="shared" si="0"/>
        <v>744</v>
      </c>
    </row>
    <row r="3" spans="1:4">
      <c r="A3" s="113">
        <v>1541</v>
      </c>
      <c r="B3" s="114">
        <v>46081.75</v>
      </c>
      <c r="C3" s="114">
        <v>46112.75</v>
      </c>
      <c r="D3" s="115">
        <f t="shared" si="0"/>
        <v>744</v>
      </c>
    </row>
    <row r="4" spans="1:4">
      <c r="A4" s="113">
        <v>1542</v>
      </c>
      <c r="B4" s="114">
        <v>46081.75</v>
      </c>
      <c r="C4" s="114">
        <v>46112.75</v>
      </c>
      <c r="D4" s="115">
        <f t="shared" si="0"/>
        <v>744</v>
      </c>
    </row>
    <row r="5" spans="1:4">
      <c r="A5" s="113">
        <v>1543</v>
      </c>
      <c r="B5" s="114">
        <v>46081.75</v>
      </c>
      <c r="C5" s="114">
        <v>46112.75</v>
      </c>
      <c r="D5" s="115">
        <f t="shared" si="0"/>
        <v>744</v>
      </c>
    </row>
    <row r="6" spans="1:4">
      <c r="A6" s="113">
        <v>1544</v>
      </c>
      <c r="B6" s="114">
        <v>46081.75</v>
      </c>
      <c r="C6" s="114">
        <v>46112.75</v>
      </c>
      <c r="D6" s="115">
        <f t="shared" si="0"/>
        <v>744</v>
      </c>
    </row>
    <row r="7" spans="1:4">
      <c r="A7" s="113">
        <v>1545</v>
      </c>
      <c r="B7" s="114">
        <v>46081.75</v>
      </c>
      <c r="C7" s="114">
        <v>46112.75</v>
      </c>
      <c r="D7" s="115">
        <f t="shared" si="0"/>
        <v>744</v>
      </c>
    </row>
    <row r="8" spans="1:4">
      <c r="A8" s="113">
        <v>1546</v>
      </c>
      <c r="B8" s="114">
        <v>46081.75</v>
      </c>
      <c r="C8" s="114">
        <v>46112.75</v>
      </c>
      <c r="D8" s="115">
        <f t="shared" si="0"/>
        <v>744</v>
      </c>
    </row>
    <row r="9" spans="1:4">
      <c r="A9" s="113">
        <v>1547</v>
      </c>
      <c r="B9" s="114">
        <v>46081.75</v>
      </c>
      <c r="C9" s="114">
        <v>46112.75</v>
      </c>
      <c r="D9" s="115">
        <f t="shared" si="0"/>
        <v>744</v>
      </c>
    </row>
    <row r="10" spans="1:4">
      <c r="A10" s="113">
        <v>1548</v>
      </c>
      <c r="B10" s="114">
        <v>46081.75</v>
      </c>
      <c r="C10" s="114">
        <v>46112.75</v>
      </c>
      <c r="D10" s="115">
        <f t="shared" si="0"/>
        <v>744</v>
      </c>
    </row>
    <row r="11" spans="1:4">
      <c r="A11" s="113">
        <v>1602</v>
      </c>
      <c r="B11" s="114">
        <v>46081.75</v>
      </c>
      <c r="C11" s="114">
        <v>46112.75</v>
      </c>
      <c r="D11" s="115">
        <f>(C11-B11)*24</f>
        <v>744</v>
      </c>
    </row>
    <row r="12" spans="1:4">
      <c r="A12" s="113">
        <v>1603</v>
      </c>
      <c r="B12" s="114">
        <v>46081.75</v>
      </c>
      <c r="C12" s="114">
        <v>46112.75</v>
      </c>
      <c r="D12" s="115">
        <f t="shared" ref="D12:D17" si="1">(C12-B12)*24</f>
        <v>744</v>
      </c>
    </row>
    <row r="13" spans="1:4">
      <c r="A13" s="113">
        <v>1604</v>
      </c>
      <c r="B13" s="114">
        <v>46081.75</v>
      </c>
      <c r="C13" s="114">
        <v>46112.75</v>
      </c>
      <c r="D13" s="115">
        <f t="shared" si="1"/>
        <v>744</v>
      </c>
    </row>
    <row r="14" spans="1:4">
      <c r="A14" s="113">
        <v>1605</v>
      </c>
      <c r="B14" s="114">
        <v>46081.75</v>
      </c>
      <c r="C14" s="114">
        <v>46112.75</v>
      </c>
      <c r="D14" s="115">
        <f t="shared" si="1"/>
        <v>744</v>
      </c>
    </row>
    <row r="15" spans="1:4">
      <c r="A15" s="113">
        <v>1606</v>
      </c>
      <c r="B15" s="114">
        <v>46081.75</v>
      </c>
      <c r="C15" s="114">
        <v>46112.75</v>
      </c>
      <c r="D15" s="115">
        <f t="shared" si="1"/>
        <v>744</v>
      </c>
    </row>
    <row r="16" spans="1:4">
      <c r="A16" s="113">
        <v>1607</v>
      </c>
      <c r="B16" s="114">
        <v>46081.75</v>
      </c>
      <c r="C16" s="114">
        <v>46112.75</v>
      </c>
      <c r="D16" s="115">
        <f t="shared" si="1"/>
        <v>744</v>
      </c>
    </row>
    <row r="17" spans="1:4">
      <c r="A17" s="113">
        <v>1608</v>
      </c>
      <c r="B17" s="114">
        <v>46081.75</v>
      </c>
      <c r="C17" s="114">
        <v>46112.75</v>
      </c>
      <c r="D17" s="115">
        <f t="shared" si="1"/>
        <v>744</v>
      </c>
    </row>
    <row r="18" spans="1:4">
      <c r="A18" s="113">
        <v>1609</v>
      </c>
      <c r="B18" s="114">
        <v>46081.75</v>
      </c>
      <c r="C18" s="114">
        <v>46112.75</v>
      </c>
      <c r="D18" s="115">
        <f t="shared" ref="D18:D64" si="2">(C18-B18)*24</f>
        <v>744</v>
      </c>
    </row>
    <row r="19" spans="1:4">
      <c r="A19" s="113">
        <v>1610</v>
      </c>
      <c r="B19" s="114">
        <v>46081.75</v>
      </c>
      <c r="C19" s="114">
        <v>46112.75</v>
      </c>
      <c r="D19" s="115">
        <f t="shared" si="2"/>
        <v>744</v>
      </c>
    </row>
    <row r="20" spans="1:4">
      <c r="A20" s="113">
        <v>1611</v>
      </c>
      <c r="B20" s="114">
        <v>46081.75</v>
      </c>
      <c r="C20" s="114">
        <v>46112.75</v>
      </c>
      <c r="D20" s="115">
        <f t="shared" si="2"/>
        <v>744</v>
      </c>
    </row>
    <row r="21" spans="1:4">
      <c r="A21" s="113">
        <v>1612</v>
      </c>
      <c r="B21" s="114">
        <v>46081.75</v>
      </c>
      <c r="C21" s="114">
        <v>46112.75</v>
      </c>
      <c r="D21" s="115">
        <f t="shared" si="2"/>
        <v>744</v>
      </c>
    </row>
    <row r="22" spans="1:4">
      <c r="A22" s="113">
        <v>1613</v>
      </c>
      <c r="B22" s="114">
        <v>46081.75</v>
      </c>
      <c r="C22" s="114">
        <v>46112.75</v>
      </c>
      <c r="D22" s="115">
        <f t="shared" si="2"/>
        <v>744</v>
      </c>
    </row>
    <row r="23" spans="1:4">
      <c r="A23" s="113">
        <v>1614</v>
      </c>
      <c r="B23" s="114">
        <v>46081.75</v>
      </c>
      <c r="C23" s="114">
        <v>46112.75</v>
      </c>
      <c r="D23" s="115">
        <f t="shared" si="2"/>
        <v>744</v>
      </c>
    </row>
    <row r="24" spans="1:4">
      <c r="A24" s="113">
        <v>1615</v>
      </c>
      <c r="B24" s="114">
        <v>46081.75</v>
      </c>
      <c r="C24" s="114">
        <v>46112.75</v>
      </c>
      <c r="D24" s="115">
        <f t="shared" si="2"/>
        <v>744</v>
      </c>
    </row>
    <row r="25" spans="1:4">
      <c r="A25" s="113">
        <v>1616</v>
      </c>
      <c r="B25" s="114">
        <v>46081.75</v>
      </c>
      <c r="C25" s="114">
        <v>46112.75</v>
      </c>
      <c r="D25" s="115">
        <f t="shared" si="2"/>
        <v>744</v>
      </c>
    </row>
    <row r="26" spans="1:4">
      <c r="A26" s="113">
        <v>1617</v>
      </c>
      <c r="B26" s="114">
        <v>46081.75</v>
      </c>
      <c r="C26" s="114">
        <v>46112.75</v>
      </c>
      <c r="D26" s="115">
        <f t="shared" si="2"/>
        <v>744</v>
      </c>
    </row>
    <row r="27" spans="1:4">
      <c r="A27" s="113">
        <v>1618</v>
      </c>
      <c r="B27" s="114">
        <v>46081.75</v>
      </c>
      <c r="C27" s="114">
        <v>46112.75</v>
      </c>
      <c r="D27" s="115">
        <f t="shared" si="2"/>
        <v>744</v>
      </c>
    </row>
    <row r="28" spans="1:4">
      <c r="A28" s="113">
        <v>1619</v>
      </c>
      <c r="B28" s="114">
        <v>46081.75</v>
      </c>
      <c r="C28" s="114">
        <v>46112.75</v>
      </c>
      <c r="D28" s="115">
        <f t="shared" si="2"/>
        <v>744</v>
      </c>
    </row>
    <row r="29" spans="1:4">
      <c r="A29" s="113">
        <v>1620</v>
      </c>
      <c r="B29" s="114">
        <v>46081.75</v>
      </c>
      <c r="C29" s="114">
        <v>46112.75</v>
      </c>
      <c r="D29" s="115">
        <f t="shared" si="2"/>
        <v>744</v>
      </c>
    </row>
    <row r="30" spans="1:4">
      <c r="A30" s="113">
        <v>1621</v>
      </c>
      <c r="B30" s="114">
        <v>46081.75</v>
      </c>
      <c r="C30" s="114">
        <v>46112.75</v>
      </c>
      <c r="D30" s="134">
        <f t="shared" si="2"/>
        <v>744</v>
      </c>
    </row>
    <row r="31" spans="1:4">
      <c r="A31" s="113">
        <v>1622</v>
      </c>
      <c r="B31" s="114">
        <v>46081.75</v>
      </c>
      <c r="C31" s="114">
        <v>46112.75</v>
      </c>
      <c r="D31" s="134">
        <f t="shared" si="2"/>
        <v>744</v>
      </c>
    </row>
    <row r="32" spans="1:4">
      <c r="A32" s="113">
        <v>1623</v>
      </c>
      <c r="B32" s="114">
        <v>46081.75</v>
      </c>
      <c r="C32" s="114">
        <v>46112.75</v>
      </c>
      <c r="D32" s="134">
        <f t="shared" si="2"/>
        <v>744</v>
      </c>
    </row>
    <row r="33" spans="1:6">
      <c r="A33" s="113">
        <v>1624</v>
      </c>
      <c r="B33" s="114">
        <v>46081.75</v>
      </c>
      <c r="C33" s="114">
        <v>46112.75</v>
      </c>
      <c r="D33" s="134">
        <f t="shared" si="2"/>
        <v>744</v>
      </c>
    </row>
    <row r="34" spans="1:6">
      <c r="A34" s="113">
        <v>1625</v>
      </c>
      <c r="B34" s="114">
        <v>46081.75</v>
      </c>
      <c r="C34" s="114">
        <v>46112.75</v>
      </c>
      <c r="D34" s="134">
        <f t="shared" si="2"/>
        <v>744</v>
      </c>
      <c r="F34" s="81"/>
    </row>
    <row r="35" spans="1:6">
      <c r="A35" s="113">
        <v>1626</v>
      </c>
      <c r="B35" s="114">
        <v>46081.75</v>
      </c>
      <c r="C35" s="114">
        <v>46112.75</v>
      </c>
      <c r="D35" s="134">
        <f t="shared" si="2"/>
        <v>744</v>
      </c>
    </row>
    <row r="36" spans="1:6">
      <c r="A36" s="113">
        <v>1627</v>
      </c>
      <c r="B36" s="114">
        <v>46081.75</v>
      </c>
      <c r="C36" s="114">
        <v>46112.75</v>
      </c>
      <c r="D36" s="134">
        <f t="shared" si="2"/>
        <v>744</v>
      </c>
    </row>
    <row r="37" spans="1:6">
      <c r="A37" s="113">
        <v>1628</v>
      </c>
      <c r="B37" s="114">
        <v>46081.75</v>
      </c>
      <c r="C37" s="114">
        <v>46112.75</v>
      </c>
      <c r="D37" s="134">
        <f t="shared" si="2"/>
        <v>744</v>
      </c>
    </row>
    <row r="38" spans="1:6">
      <c r="A38" s="113">
        <v>1629</v>
      </c>
      <c r="B38" s="114">
        <v>46081.75</v>
      </c>
      <c r="C38" s="114">
        <v>46112.75</v>
      </c>
      <c r="D38" s="134">
        <f t="shared" si="2"/>
        <v>744</v>
      </c>
    </row>
    <row r="39" spans="1:6">
      <c r="A39" s="113">
        <v>1630</v>
      </c>
      <c r="B39" s="114">
        <v>46081.75</v>
      </c>
      <c r="C39" s="114">
        <v>46112.75</v>
      </c>
      <c r="D39" s="134">
        <f t="shared" si="2"/>
        <v>744</v>
      </c>
    </row>
    <row r="40" spans="1:6">
      <c r="A40" s="113">
        <v>1631</v>
      </c>
      <c r="B40" s="114">
        <v>46081.75</v>
      </c>
      <c r="C40" s="114">
        <v>46112.75</v>
      </c>
      <c r="D40" s="134">
        <f t="shared" si="2"/>
        <v>744</v>
      </c>
    </row>
    <row r="41" spans="1:6">
      <c r="A41" s="113">
        <v>1632</v>
      </c>
      <c r="B41" s="114">
        <v>46081.75</v>
      </c>
      <c r="C41" s="114">
        <v>46112.75</v>
      </c>
      <c r="D41" s="134">
        <f t="shared" si="2"/>
        <v>744</v>
      </c>
    </row>
    <row r="42" spans="1:6">
      <c r="A42" s="113">
        <v>1633</v>
      </c>
      <c r="B42" s="114">
        <v>46081.75</v>
      </c>
      <c r="C42" s="114">
        <v>46112.75</v>
      </c>
      <c r="D42" s="134">
        <f t="shared" si="2"/>
        <v>744</v>
      </c>
    </row>
    <row r="43" spans="1:6">
      <c r="A43" s="113">
        <v>1634</v>
      </c>
      <c r="B43" s="114">
        <v>46081.75</v>
      </c>
      <c r="C43" s="114">
        <v>46112.75</v>
      </c>
      <c r="D43" s="134">
        <f t="shared" si="2"/>
        <v>744</v>
      </c>
    </row>
    <row r="44" spans="1:6">
      <c r="A44" s="113">
        <v>1635</v>
      </c>
      <c r="B44" s="114">
        <v>46081.75</v>
      </c>
      <c r="C44" s="114">
        <v>46112.75</v>
      </c>
      <c r="D44" s="134">
        <f t="shared" si="2"/>
        <v>744</v>
      </c>
    </row>
    <row r="45" spans="1:6">
      <c r="A45" s="113">
        <v>1636</v>
      </c>
      <c r="B45" s="114">
        <v>46081.75</v>
      </c>
      <c r="C45" s="114">
        <v>46112.75</v>
      </c>
      <c r="D45" s="134">
        <f t="shared" si="2"/>
        <v>744</v>
      </c>
    </row>
    <row r="46" spans="1:6">
      <c r="A46" s="113">
        <v>1637</v>
      </c>
      <c r="B46" s="114">
        <v>46081.75</v>
      </c>
      <c r="C46" s="114">
        <v>46112.75</v>
      </c>
      <c r="D46" s="134">
        <f t="shared" si="2"/>
        <v>744</v>
      </c>
    </row>
    <row r="47" spans="1:6">
      <c r="A47" s="113">
        <v>1638</v>
      </c>
      <c r="B47" s="114">
        <v>46081.75</v>
      </c>
      <c r="C47" s="114">
        <v>46112.75</v>
      </c>
      <c r="D47" s="134">
        <f t="shared" si="2"/>
        <v>744</v>
      </c>
    </row>
    <row r="48" spans="1:6">
      <c r="A48" s="113">
        <v>1639</v>
      </c>
      <c r="B48" s="114">
        <v>46081.75</v>
      </c>
      <c r="C48" s="114">
        <v>46112.75</v>
      </c>
      <c r="D48" s="134">
        <f t="shared" si="2"/>
        <v>744</v>
      </c>
    </row>
    <row r="49" spans="1:4">
      <c r="A49" s="113">
        <v>1640</v>
      </c>
      <c r="B49" s="114">
        <v>46081.75</v>
      </c>
      <c r="C49" s="114">
        <v>46112.75</v>
      </c>
      <c r="D49" s="134">
        <f t="shared" si="2"/>
        <v>744</v>
      </c>
    </row>
    <row r="50" spans="1:4">
      <c r="A50" s="113">
        <v>1641</v>
      </c>
      <c r="B50" s="114">
        <v>46081.75</v>
      </c>
      <c r="C50" s="114">
        <v>46112.75</v>
      </c>
      <c r="D50" s="134">
        <f t="shared" si="2"/>
        <v>744</v>
      </c>
    </row>
    <row r="51" spans="1:4">
      <c r="A51" s="113">
        <v>1642</v>
      </c>
      <c r="B51" s="114">
        <v>46081.75</v>
      </c>
      <c r="C51" s="114">
        <v>46112.75</v>
      </c>
      <c r="D51" s="134">
        <f t="shared" si="2"/>
        <v>744</v>
      </c>
    </row>
    <row r="52" spans="1:4">
      <c r="A52" s="113">
        <v>1643</v>
      </c>
      <c r="B52" s="114">
        <v>46081.75</v>
      </c>
      <c r="C52" s="114">
        <v>46112.75</v>
      </c>
      <c r="D52" s="134">
        <f t="shared" si="2"/>
        <v>744</v>
      </c>
    </row>
    <row r="53" spans="1:4">
      <c r="A53" s="113">
        <v>1644</v>
      </c>
      <c r="B53" s="114">
        <v>46081.75</v>
      </c>
      <c r="C53" s="114">
        <v>46112.75</v>
      </c>
      <c r="D53" s="175">
        <f t="shared" si="2"/>
        <v>744</v>
      </c>
    </row>
    <row r="54" spans="1:4">
      <c r="A54" s="113">
        <v>1645</v>
      </c>
      <c r="B54" s="114">
        <v>46081.75</v>
      </c>
      <c r="C54" s="114">
        <v>46112.75</v>
      </c>
      <c r="D54" s="175">
        <f t="shared" si="2"/>
        <v>744</v>
      </c>
    </row>
    <row r="55" spans="1:4">
      <c r="A55" s="113">
        <v>1646</v>
      </c>
      <c r="B55" s="114">
        <v>46081.75</v>
      </c>
      <c r="C55" s="114">
        <v>46112.75</v>
      </c>
      <c r="D55" s="175">
        <f t="shared" si="2"/>
        <v>744</v>
      </c>
    </row>
    <row r="56" spans="1:4">
      <c r="A56" s="113">
        <v>1647</v>
      </c>
      <c r="B56" s="114">
        <v>46081.75</v>
      </c>
      <c r="C56" s="114">
        <v>46112.75</v>
      </c>
      <c r="D56" s="175">
        <f t="shared" si="2"/>
        <v>744</v>
      </c>
    </row>
    <row r="57" spans="1:4">
      <c r="A57" s="113">
        <v>1648</v>
      </c>
      <c r="B57" s="114">
        <v>46081.75</v>
      </c>
      <c r="C57" s="114">
        <v>46112.75</v>
      </c>
      <c r="D57" s="175">
        <f t="shared" si="2"/>
        <v>744</v>
      </c>
    </row>
    <row r="58" spans="1:4">
      <c r="A58" s="113">
        <v>1649</v>
      </c>
      <c r="B58" s="114">
        <v>46081.75</v>
      </c>
      <c r="C58" s="114">
        <v>46112.75</v>
      </c>
      <c r="D58" s="175">
        <f t="shared" si="2"/>
        <v>744</v>
      </c>
    </row>
    <row r="59" spans="1:4">
      <c r="A59" s="113">
        <v>1650</v>
      </c>
      <c r="B59" s="114">
        <v>46081.75</v>
      </c>
      <c r="C59" s="114">
        <v>46112.75</v>
      </c>
      <c r="D59" s="175">
        <f t="shared" si="2"/>
        <v>744</v>
      </c>
    </row>
    <row r="60" spans="1:4">
      <c r="A60" s="113">
        <v>1651</v>
      </c>
      <c r="B60" s="114">
        <v>46081.75</v>
      </c>
      <c r="C60" s="114">
        <v>46112.75</v>
      </c>
      <c r="D60" s="175">
        <f t="shared" si="2"/>
        <v>744</v>
      </c>
    </row>
    <row r="61" spans="1:4" ht="16" thickBot="1">
      <c r="A61" s="430">
        <v>1652</v>
      </c>
      <c r="B61" s="431">
        <v>46081.75</v>
      </c>
      <c r="C61" s="431">
        <v>46112.75</v>
      </c>
      <c r="D61" s="432">
        <f t="shared" si="2"/>
        <v>744</v>
      </c>
    </row>
    <row r="62" spans="1:4" s="14" customFormat="1">
      <c r="A62" s="433">
        <v>1655</v>
      </c>
      <c r="B62" s="114">
        <v>46105.449305555558</v>
      </c>
      <c r="C62" s="114">
        <v>46112.75</v>
      </c>
      <c r="D62" s="434">
        <f>(C62-B62)*24</f>
        <v>175.21666666661622</v>
      </c>
    </row>
    <row r="63" spans="1:4" s="14" customFormat="1">
      <c r="A63" s="433">
        <v>1656</v>
      </c>
      <c r="B63" s="114">
        <v>46105.552083333336</v>
      </c>
      <c r="C63" s="114">
        <v>46112.75</v>
      </c>
      <c r="D63" s="434">
        <f t="shared" si="2"/>
        <v>172.74999999994179</v>
      </c>
    </row>
    <row r="64" spans="1:4" s="14" customFormat="1">
      <c r="A64" s="433">
        <v>1657</v>
      </c>
      <c r="B64" s="114">
        <v>46105.574305555558</v>
      </c>
      <c r="C64" s="114">
        <v>46112.75</v>
      </c>
      <c r="D64" s="434">
        <f t="shared" si="2"/>
        <v>172.21666666661622</v>
      </c>
    </row>
    <row r="65" spans="1:4" s="14" customFormat="1">
      <c r="A65" s="433">
        <v>1658</v>
      </c>
      <c r="B65" s="114">
        <v>46105.595833333333</v>
      </c>
      <c r="C65" s="114">
        <v>46112.75</v>
      </c>
      <c r="D65" s="434">
        <f t="shared" ref="D65:D77" si="3">(C65-B65)*24</f>
        <v>171.70000000001164</v>
      </c>
    </row>
    <row r="66" spans="1:4" s="14" customFormat="1">
      <c r="A66" s="433">
        <v>1659</v>
      </c>
      <c r="B66" s="114">
        <v>46105.615972222222</v>
      </c>
      <c r="C66" s="114">
        <v>46112.75</v>
      </c>
      <c r="D66" s="434">
        <f t="shared" si="3"/>
        <v>171.21666666667443</v>
      </c>
    </row>
    <row r="67" spans="1:4" s="14" customFormat="1">
      <c r="A67" s="433">
        <v>1660</v>
      </c>
      <c r="B67" s="114">
        <v>46105.672222222223</v>
      </c>
      <c r="C67" s="114">
        <v>46112.75</v>
      </c>
      <c r="D67" s="434">
        <f t="shared" si="3"/>
        <v>169.8666666666395</v>
      </c>
    </row>
    <row r="68" spans="1:4" s="14" customFormat="1">
      <c r="A68" s="433">
        <v>1661</v>
      </c>
      <c r="B68" s="114">
        <v>46098.470833333333</v>
      </c>
      <c r="C68" s="114">
        <v>46112.75</v>
      </c>
      <c r="D68" s="434">
        <f t="shared" si="3"/>
        <v>342.70000000001164</v>
      </c>
    </row>
    <row r="69" spans="1:4" s="14" customFormat="1">
      <c r="A69" s="433">
        <v>1662</v>
      </c>
      <c r="B69" s="114">
        <v>46098.552083333336</v>
      </c>
      <c r="C69" s="114">
        <v>46112.75</v>
      </c>
      <c r="D69" s="434">
        <f t="shared" si="3"/>
        <v>340.74999999994179</v>
      </c>
    </row>
    <row r="70" spans="1:4" s="14" customFormat="1">
      <c r="A70" s="433">
        <v>1663</v>
      </c>
      <c r="B70" s="114">
        <v>46098.577777777777</v>
      </c>
      <c r="C70" s="114">
        <v>46112.75</v>
      </c>
      <c r="D70" s="434">
        <f t="shared" si="3"/>
        <v>340.1333333333605</v>
      </c>
    </row>
    <row r="71" spans="1:4" s="14" customFormat="1">
      <c r="A71" s="433">
        <v>1664</v>
      </c>
      <c r="B71" s="114">
        <v>46098.621527777781</v>
      </c>
      <c r="C71" s="114">
        <v>46112.75</v>
      </c>
      <c r="D71" s="434">
        <f t="shared" si="3"/>
        <v>339.08333333325572</v>
      </c>
    </row>
    <row r="72" spans="1:4" s="14" customFormat="1">
      <c r="A72" s="433">
        <v>1665</v>
      </c>
      <c r="B72" s="114">
        <v>46098.65347222222</v>
      </c>
      <c r="C72" s="114">
        <v>46112.75</v>
      </c>
      <c r="D72" s="434">
        <f t="shared" si="3"/>
        <v>338.31666666670935</v>
      </c>
    </row>
    <row r="73" spans="1:4" s="14" customFormat="1">
      <c r="A73" s="433">
        <v>1666</v>
      </c>
      <c r="B73" s="114">
        <v>46098.68472222222</v>
      </c>
      <c r="C73" s="114">
        <v>46112.75</v>
      </c>
      <c r="D73" s="434">
        <f t="shared" si="3"/>
        <v>337.56666666670935</v>
      </c>
    </row>
    <row r="74" spans="1:4" s="14" customFormat="1">
      <c r="A74" s="433">
        <v>1667</v>
      </c>
      <c r="B74" s="114">
        <v>46098.704861111109</v>
      </c>
      <c r="C74" s="114">
        <v>46112.75</v>
      </c>
      <c r="D74" s="434">
        <f t="shared" si="3"/>
        <v>337.08333333337214</v>
      </c>
    </row>
    <row r="75" spans="1:4" s="14" customFormat="1">
      <c r="A75" s="433">
        <v>1668</v>
      </c>
      <c r="B75" s="114">
        <v>46098.722222222219</v>
      </c>
      <c r="C75" s="114">
        <v>46112.75</v>
      </c>
      <c r="D75" s="434">
        <f t="shared" si="3"/>
        <v>336.66666666674428</v>
      </c>
    </row>
    <row r="76" spans="1:4" s="14" customFormat="1">
      <c r="A76" s="433">
        <v>1669</v>
      </c>
      <c r="B76" s="114">
        <v>46098.739583333336</v>
      </c>
      <c r="C76" s="114">
        <v>46112.75</v>
      </c>
      <c r="D76" s="434">
        <f>(C76-B76)*24</f>
        <v>336.24999999994179</v>
      </c>
    </row>
    <row r="77" spans="1:4" s="14" customFormat="1">
      <c r="A77" s="433">
        <v>1670</v>
      </c>
      <c r="B77" s="114">
        <v>46105.69027777778</v>
      </c>
      <c r="C77" s="114">
        <v>46112.75</v>
      </c>
      <c r="D77" s="434">
        <f t="shared" si="3"/>
        <v>169.43333333329065</v>
      </c>
    </row>
    <row r="78" spans="1:4">
      <c r="A78" s="435">
        <f>COUNTA(A1:A77)</f>
        <v>77</v>
      </c>
      <c r="D78" s="134">
        <f>SUM(D1:D77)</f>
        <v>49634.949999999837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5"/>
  <sheetViews>
    <sheetView showGridLines="0" topLeftCell="A144" workbookViewId="0">
      <selection activeCell="B168" sqref="B168"/>
    </sheetView>
  </sheetViews>
  <sheetFormatPr baseColWidth="10" defaultColWidth="9.1640625" defaultRowHeight="15"/>
  <cols>
    <col min="1" max="1" width="12.5" style="525" bestFit="1" customWidth="1"/>
    <col min="2" max="2" width="21.5" style="525" bestFit="1" customWidth="1"/>
    <col min="3" max="3" width="12.1640625" style="525" bestFit="1" customWidth="1"/>
    <col min="4" max="4" width="7.5" style="525" customWidth="1"/>
    <col min="5" max="5" width="11.5" style="525" customWidth="1"/>
    <col min="6" max="7" width="7" style="525" customWidth="1"/>
    <col min="8" max="8" width="15.1640625" style="525" bestFit="1" customWidth="1"/>
    <col min="9" max="9" width="18.1640625" style="525" bestFit="1" customWidth="1"/>
    <col min="10" max="10" width="36.5" style="525" bestFit="1" customWidth="1"/>
    <col min="11" max="11" width="6.33203125" style="525" customWidth="1"/>
    <col min="12" max="12" width="16.33203125" style="525" bestFit="1" customWidth="1"/>
    <col min="13" max="13" width="22.33203125" style="525" bestFit="1" customWidth="1"/>
    <col min="14" max="16384" width="9.1640625" style="525"/>
  </cols>
  <sheetData>
    <row r="1" spans="1:13">
      <c r="A1" s="603" t="s">
        <v>1012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</row>
    <row r="2" spans="1:13">
      <c r="A2" s="602" t="s">
        <v>1013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</row>
    <row r="3" spans="1:13">
      <c r="A3" s="602" t="s">
        <v>1014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</row>
    <row r="4" spans="1:13">
      <c r="A4" s="602" t="s">
        <v>1015</v>
      </c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</row>
    <row r="5" spans="1:13">
      <c r="A5" s="602" t="s">
        <v>1016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</row>
    <row r="6" spans="1:13">
      <c r="A6" s="602" t="s">
        <v>1017</v>
      </c>
      <c r="B6" s="602"/>
      <c r="C6" s="602"/>
      <c r="D6" s="602"/>
      <c r="E6" s="602"/>
      <c r="F6" s="602"/>
      <c r="G6" s="602"/>
      <c r="H6" s="602"/>
      <c r="I6" s="602"/>
      <c r="J6" s="602"/>
      <c r="K6" s="602"/>
      <c r="L6" s="602"/>
    </row>
    <row r="7" spans="1:13">
      <c r="A7" s="602" t="s">
        <v>1018</v>
      </c>
      <c r="B7" s="602"/>
      <c r="C7" s="602"/>
      <c r="D7" s="602"/>
      <c r="E7" s="602"/>
      <c r="F7" s="602"/>
      <c r="G7" s="602"/>
      <c r="H7" s="602"/>
      <c r="I7" s="602"/>
      <c r="J7" s="602"/>
      <c r="K7" s="602"/>
      <c r="L7" s="602"/>
    </row>
    <row r="8" spans="1:13">
      <c r="A8" s="602" t="s">
        <v>1019</v>
      </c>
      <c r="B8" s="602"/>
      <c r="C8" s="602"/>
      <c r="D8" s="602"/>
      <c r="E8" s="602"/>
      <c r="F8" s="602"/>
      <c r="G8" s="602"/>
      <c r="H8" s="602"/>
      <c r="I8" s="602"/>
      <c r="J8" s="602"/>
      <c r="K8" s="602"/>
      <c r="L8" s="602"/>
    </row>
    <row r="9" spans="1:13">
      <c r="A9" s="602" t="s">
        <v>1020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</row>
    <row r="10" spans="1:13">
      <c r="A10" s="602" t="s">
        <v>1021</v>
      </c>
      <c r="B10" s="602"/>
      <c r="C10" s="602"/>
      <c r="D10" s="602"/>
      <c r="E10" s="602"/>
      <c r="F10" s="602"/>
      <c r="G10" s="602"/>
      <c r="H10" s="602"/>
      <c r="I10" s="602"/>
      <c r="J10" s="602"/>
      <c r="K10" s="602"/>
      <c r="L10" s="602"/>
    </row>
    <row r="11" spans="1:13">
      <c r="A11" s="602" t="s">
        <v>1022</v>
      </c>
      <c r="B11" s="602"/>
      <c r="C11" s="602"/>
      <c r="D11" s="602"/>
      <c r="E11" s="602"/>
      <c r="F11" s="602"/>
      <c r="G11" s="602"/>
      <c r="H11" s="602"/>
      <c r="I11" s="602"/>
      <c r="J11" s="602"/>
      <c r="K11" s="602"/>
      <c r="L11" s="602"/>
    </row>
    <row r="12" spans="1:13">
      <c r="A12" s="602" t="s">
        <v>1023</v>
      </c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</row>
    <row r="13" spans="1:13">
      <c r="A13" s="602"/>
      <c r="B13" s="602"/>
      <c r="C13" s="602"/>
      <c r="D13" s="602"/>
      <c r="E13" s="602"/>
      <c r="F13" s="602"/>
      <c r="G13" s="602"/>
      <c r="H13" s="602"/>
      <c r="I13" s="602"/>
      <c r="J13" s="602"/>
      <c r="K13" s="602"/>
      <c r="L13" s="602"/>
    </row>
    <row r="14" spans="1:13" ht="15" customHeight="1">
      <c r="A14" s="607" t="s">
        <v>1024</v>
      </c>
      <c r="B14" s="608"/>
      <c r="C14" s="608"/>
      <c r="D14" s="608"/>
      <c r="E14" s="608"/>
      <c r="F14" s="608"/>
      <c r="G14" s="608"/>
      <c r="H14" s="608"/>
      <c r="I14" s="608"/>
      <c r="J14" s="608"/>
      <c r="K14" s="608"/>
      <c r="L14" s="608"/>
      <c r="M14" s="609"/>
    </row>
    <row r="15" spans="1:13" ht="15" customHeight="1">
      <c r="A15" s="526" t="s">
        <v>1025</v>
      </c>
      <c r="B15" s="526" t="s">
        <v>1026</v>
      </c>
      <c r="C15" s="526" t="s">
        <v>38</v>
      </c>
      <c r="D15" s="526" t="s">
        <v>39</v>
      </c>
      <c r="E15" s="610" t="s">
        <v>1027</v>
      </c>
      <c r="F15" s="611"/>
      <c r="G15" s="610" t="s">
        <v>1028</v>
      </c>
      <c r="H15" s="612"/>
      <c r="I15" s="612"/>
      <c r="J15" s="611"/>
      <c r="K15" s="610" t="s">
        <v>1028</v>
      </c>
      <c r="L15" s="612"/>
      <c r="M15" s="611"/>
    </row>
    <row r="16" spans="1:13" ht="15" customHeight="1">
      <c r="A16" s="527" t="s">
        <v>1029</v>
      </c>
      <c r="B16" s="527" t="s">
        <v>1030</v>
      </c>
      <c r="C16" s="527" t="s">
        <v>1031</v>
      </c>
      <c r="D16" s="527" t="s">
        <v>1032</v>
      </c>
      <c r="E16" s="604" t="s">
        <v>1033</v>
      </c>
      <c r="F16" s="605"/>
      <c r="G16" s="604" t="s">
        <v>1034</v>
      </c>
      <c r="H16" s="606"/>
      <c r="I16" s="606"/>
      <c r="J16" s="605"/>
      <c r="K16" s="604" t="s">
        <v>1035</v>
      </c>
      <c r="L16" s="606"/>
      <c r="M16" s="605"/>
    </row>
    <row r="17" spans="1:14" ht="15" customHeight="1">
      <c r="A17" s="527" t="s">
        <v>1030</v>
      </c>
      <c r="B17" s="527" t="s">
        <v>1031</v>
      </c>
      <c r="C17" s="527"/>
      <c r="D17" s="527"/>
      <c r="E17" s="613" t="s">
        <v>1036</v>
      </c>
      <c r="F17" s="613" t="s">
        <v>1037</v>
      </c>
      <c r="G17" s="613" t="s">
        <v>1038</v>
      </c>
      <c r="H17" s="526" t="s">
        <v>1039</v>
      </c>
      <c r="I17" s="526" t="s">
        <v>1039</v>
      </c>
      <c r="J17" s="613" t="s">
        <v>1040</v>
      </c>
      <c r="K17" s="613" t="s">
        <v>1038</v>
      </c>
      <c r="L17" s="526" t="s">
        <v>1041</v>
      </c>
      <c r="M17" s="526" t="s">
        <v>1041</v>
      </c>
    </row>
    <row r="18" spans="1:14" ht="16">
      <c r="A18" s="528"/>
      <c r="B18" s="528"/>
      <c r="C18" s="528"/>
      <c r="D18" s="528"/>
      <c r="E18" s="614"/>
      <c r="F18" s="614"/>
      <c r="G18" s="614"/>
      <c r="H18" s="528" t="s">
        <v>1042</v>
      </c>
      <c r="I18" s="528" t="s">
        <v>1043</v>
      </c>
      <c r="J18" s="614"/>
      <c r="K18" s="614"/>
      <c r="L18" s="528" t="s">
        <v>1044</v>
      </c>
      <c r="M18" s="528" t="s">
        <v>1045</v>
      </c>
    </row>
    <row r="19" spans="1:14">
      <c r="A19" s="529">
        <v>1</v>
      </c>
      <c r="B19" s="529">
        <v>2</v>
      </c>
      <c r="C19" s="529">
        <v>3</v>
      </c>
      <c r="D19" s="529">
        <v>4</v>
      </c>
      <c r="E19" s="529">
        <v>5</v>
      </c>
      <c r="F19" s="529">
        <v>6</v>
      </c>
      <c r="G19" s="529">
        <v>7</v>
      </c>
      <c r="H19" s="529">
        <v>8</v>
      </c>
      <c r="I19" s="529">
        <v>9</v>
      </c>
      <c r="J19" s="529">
        <v>10</v>
      </c>
      <c r="K19" s="529">
        <v>11</v>
      </c>
      <c r="L19" s="529">
        <v>12</v>
      </c>
      <c r="M19" s="529">
        <v>13</v>
      </c>
    </row>
    <row r="20" spans="1:14" ht="16">
      <c r="A20" s="530" t="s">
        <v>1046</v>
      </c>
      <c r="B20" s="530" t="s">
        <v>1047</v>
      </c>
      <c r="C20" s="530" t="s">
        <v>45</v>
      </c>
      <c r="D20" s="530" t="s">
        <v>1048</v>
      </c>
      <c r="E20" s="530">
        <v>13892</v>
      </c>
      <c r="F20" s="530">
        <v>744</v>
      </c>
      <c r="G20" s="530">
        <v>744</v>
      </c>
      <c r="H20" s="530">
        <v>445</v>
      </c>
      <c r="I20" s="530">
        <v>56</v>
      </c>
      <c r="J20" s="530">
        <v>24</v>
      </c>
      <c r="K20" s="530">
        <v>0</v>
      </c>
      <c r="L20" s="530">
        <v>0</v>
      </c>
      <c r="M20" s="530">
        <v>0</v>
      </c>
      <c r="N20" s="531"/>
    </row>
    <row r="21" spans="1:14" ht="16">
      <c r="A21" s="530" t="s">
        <v>1046</v>
      </c>
      <c r="B21" s="530" t="s">
        <v>1047</v>
      </c>
      <c r="C21" s="530" t="s">
        <v>45</v>
      </c>
      <c r="D21" s="530" t="s">
        <v>1049</v>
      </c>
      <c r="E21" s="530">
        <v>13892</v>
      </c>
      <c r="F21" s="530">
        <v>744</v>
      </c>
      <c r="G21" s="530">
        <v>744</v>
      </c>
      <c r="H21" s="530">
        <v>445</v>
      </c>
      <c r="I21" s="530">
        <v>56</v>
      </c>
      <c r="J21" s="530">
        <v>24</v>
      </c>
      <c r="K21" s="530">
        <v>0</v>
      </c>
      <c r="L21" s="530">
        <v>0</v>
      </c>
      <c r="M21" s="530">
        <v>0</v>
      </c>
      <c r="N21" s="531"/>
    </row>
    <row r="22" spans="1:14" ht="16">
      <c r="A22" s="530" t="s">
        <v>1046</v>
      </c>
      <c r="B22" s="530" t="s">
        <v>1047</v>
      </c>
      <c r="C22" s="530" t="s">
        <v>45</v>
      </c>
      <c r="D22" s="530" t="s">
        <v>1050</v>
      </c>
      <c r="E22" s="530">
        <v>12849</v>
      </c>
      <c r="F22" s="530">
        <v>676</v>
      </c>
      <c r="G22" s="530">
        <v>676</v>
      </c>
      <c r="H22" s="530">
        <v>434</v>
      </c>
      <c r="I22" s="530">
        <v>49</v>
      </c>
      <c r="J22" s="530">
        <v>20</v>
      </c>
      <c r="K22" s="530">
        <v>69</v>
      </c>
      <c r="L22" s="530">
        <v>63</v>
      </c>
      <c r="M22" s="530">
        <v>6</v>
      </c>
      <c r="N22" s="531"/>
    </row>
    <row r="23" spans="1:14" ht="16">
      <c r="A23" s="530" t="s">
        <v>1046</v>
      </c>
      <c r="B23" s="530" t="s">
        <v>1047</v>
      </c>
      <c r="C23" s="530" t="s">
        <v>45</v>
      </c>
      <c r="D23" s="530" t="s">
        <v>1051</v>
      </c>
      <c r="E23" s="530">
        <v>12849</v>
      </c>
      <c r="F23" s="530">
        <v>676</v>
      </c>
      <c r="G23" s="530">
        <v>676</v>
      </c>
      <c r="H23" s="530">
        <v>434</v>
      </c>
      <c r="I23" s="530">
        <v>49</v>
      </c>
      <c r="J23" s="530">
        <v>20</v>
      </c>
      <c r="K23" s="530">
        <v>69</v>
      </c>
      <c r="L23" s="530">
        <v>63</v>
      </c>
      <c r="M23" s="530">
        <v>6</v>
      </c>
      <c r="N23" s="531"/>
    </row>
    <row r="24" spans="1:14" ht="16">
      <c r="A24" s="530" t="s">
        <v>1046</v>
      </c>
      <c r="B24" s="530" t="s">
        <v>1047</v>
      </c>
      <c r="C24" s="530" t="s">
        <v>45</v>
      </c>
      <c r="D24" s="530" t="s">
        <v>1052</v>
      </c>
      <c r="E24" s="530">
        <v>11384</v>
      </c>
      <c r="F24" s="530">
        <v>619</v>
      </c>
      <c r="G24" s="530">
        <v>619</v>
      </c>
      <c r="H24" s="530">
        <v>361</v>
      </c>
      <c r="I24" s="530">
        <v>53</v>
      </c>
      <c r="J24" s="530">
        <v>60</v>
      </c>
      <c r="K24" s="530">
        <v>126</v>
      </c>
      <c r="L24" s="530">
        <v>54</v>
      </c>
      <c r="M24" s="530">
        <v>10</v>
      </c>
      <c r="N24" s="531"/>
    </row>
    <row r="25" spans="1:14" ht="16">
      <c r="A25" s="530" t="s">
        <v>1046</v>
      </c>
      <c r="B25" s="530" t="s">
        <v>1047</v>
      </c>
      <c r="C25" s="530" t="s">
        <v>45</v>
      </c>
      <c r="D25" s="530" t="s">
        <v>1053</v>
      </c>
      <c r="E25" s="530">
        <v>11384</v>
      </c>
      <c r="F25" s="530">
        <v>619</v>
      </c>
      <c r="G25" s="530">
        <v>619</v>
      </c>
      <c r="H25" s="530">
        <v>361</v>
      </c>
      <c r="I25" s="530">
        <v>53</v>
      </c>
      <c r="J25" s="530">
        <v>60</v>
      </c>
      <c r="K25" s="530">
        <v>126</v>
      </c>
      <c r="L25" s="530">
        <v>54</v>
      </c>
      <c r="M25" s="530">
        <v>10</v>
      </c>
      <c r="N25" s="531"/>
    </row>
    <row r="26" spans="1:14" ht="16">
      <c r="A26" s="530" t="s">
        <v>1046</v>
      </c>
      <c r="B26" s="530" t="s">
        <v>1047</v>
      </c>
      <c r="C26" s="530" t="s">
        <v>45</v>
      </c>
      <c r="D26" s="530" t="s">
        <v>1054</v>
      </c>
      <c r="E26" s="530">
        <v>13461</v>
      </c>
      <c r="F26" s="530">
        <v>700</v>
      </c>
      <c r="G26" s="530">
        <v>700</v>
      </c>
      <c r="H26" s="530">
        <v>449</v>
      </c>
      <c r="I26" s="530">
        <v>94</v>
      </c>
      <c r="J26" s="530">
        <v>15</v>
      </c>
      <c r="K26" s="530">
        <v>44</v>
      </c>
      <c r="L26" s="530">
        <v>44</v>
      </c>
      <c r="M26" s="530">
        <v>0</v>
      </c>
      <c r="N26" s="531"/>
    </row>
    <row r="27" spans="1:14" ht="16">
      <c r="A27" s="530" t="s">
        <v>1046</v>
      </c>
      <c r="B27" s="530" t="s">
        <v>1047</v>
      </c>
      <c r="C27" s="530" t="s">
        <v>45</v>
      </c>
      <c r="D27" s="530" t="s">
        <v>1055</v>
      </c>
      <c r="E27" s="530">
        <v>13461</v>
      </c>
      <c r="F27" s="530">
        <v>700</v>
      </c>
      <c r="G27" s="530">
        <v>700</v>
      </c>
      <c r="H27" s="530">
        <v>449</v>
      </c>
      <c r="I27" s="530">
        <v>94</v>
      </c>
      <c r="J27" s="530">
        <v>15</v>
      </c>
      <c r="K27" s="530">
        <v>44</v>
      </c>
      <c r="L27" s="530">
        <v>44</v>
      </c>
      <c r="M27" s="530">
        <v>0</v>
      </c>
      <c r="N27" s="531"/>
    </row>
    <row r="28" spans="1:14" ht="16">
      <c r="A28" s="530" t="s">
        <v>1046</v>
      </c>
      <c r="B28" s="530" t="s">
        <v>1047</v>
      </c>
      <c r="C28" s="530" t="s">
        <v>45</v>
      </c>
      <c r="D28" s="530" t="s">
        <v>1056</v>
      </c>
      <c r="E28" s="530">
        <v>13668</v>
      </c>
      <c r="F28" s="530">
        <v>744</v>
      </c>
      <c r="G28" s="530">
        <v>744</v>
      </c>
      <c r="H28" s="530">
        <v>469</v>
      </c>
      <c r="I28" s="530">
        <v>104</v>
      </c>
      <c r="J28" s="530">
        <v>27</v>
      </c>
      <c r="K28" s="530">
        <v>0</v>
      </c>
      <c r="L28" s="530">
        <v>0</v>
      </c>
      <c r="M28" s="530">
        <v>0</v>
      </c>
      <c r="N28" s="531"/>
    </row>
    <row r="29" spans="1:14" ht="16">
      <c r="A29" s="530" t="s">
        <v>1046</v>
      </c>
      <c r="B29" s="530" t="s">
        <v>1047</v>
      </c>
      <c r="C29" s="530" t="s">
        <v>45</v>
      </c>
      <c r="D29" s="530" t="s">
        <v>1057</v>
      </c>
      <c r="E29" s="530">
        <v>13668</v>
      </c>
      <c r="F29" s="530">
        <v>744</v>
      </c>
      <c r="G29" s="530">
        <v>744</v>
      </c>
      <c r="H29" s="530">
        <v>469</v>
      </c>
      <c r="I29" s="530">
        <v>104</v>
      </c>
      <c r="J29" s="530">
        <v>27</v>
      </c>
      <c r="K29" s="530">
        <v>0</v>
      </c>
      <c r="L29" s="530">
        <v>0</v>
      </c>
      <c r="M29" s="530">
        <v>0</v>
      </c>
      <c r="N29" s="531"/>
    </row>
    <row r="30" spans="1:14" ht="16">
      <c r="A30" s="530" t="s">
        <v>1046</v>
      </c>
      <c r="B30" s="530" t="s">
        <v>1047</v>
      </c>
      <c r="C30" s="530" t="s">
        <v>45</v>
      </c>
      <c r="D30" s="530" t="s">
        <v>1058</v>
      </c>
      <c r="E30" s="530">
        <v>11468</v>
      </c>
      <c r="F30" s="530">
        <v>611</v>
      </c>
      <c r="G30" s="530">
        <v>611</v>
      </c>
      <c r="H30" s="530">
        <v>409</v>
      </c>
      <c r="I30" s="530">
        <v>79</v>
      </c>
      <c r="J30" s="530">
        <v>29</v>
      </c>
      <c r="K30" s="530">
        <v>133</v>
      </c>
      <c r="L30" s="530">
        <v>115</v>
      </c>
      <c r="M30" s="530">
        <v>0</v>
      </c>
      <c r="N30" s="531"/>
    </row>
    <row r="31" spans="1:14" ht="16">
      <c r="A31" s="530" t="s">
        <v>1046</v>
      </c>
      <c r="B31" s="530" t="s">
        <v>1047</v>
      </c>
      <c r="C31" s="530" t="s">
        <v>45</v>
      </c>
      <c r="D31" s="530" t="s">
        <v>1059</v>
      </c>
      <c r="E31" s="530">
        <v>11468</v>
      </c>
      <c r="F31" s="530">
        <v>611</v>
      </c>
      <c r="G31" s="530">
        <v>611</v>
      </c>
      <c r="H31" s="530">
        <v>409</v>
      </c>
      <c r="I31" s="530">
        <v>79</v>
      </c>
      <c r="J31" s="530">
        <v>29</v>
      </c>
      <c r="K31" s="530">
        <v>133</v>
      </c>
      <c r="L31" s="530">
        <v>115</v>
      </c>
      <c r="M31" s="530">
        <v>0</v>
      </c>
      <c r="N31" s="531"/>
    </row>
    <row r="32" spans="1:14" ht="16">
      <c r="A32" s="530" t="s">
        <v>1046</v>
      </c>
      <c r="B32" s="530" t="s">
        <v>1047</v>
      </c>
      <c r="C32" s="530" t="s">
        <v>45</v>
      </c>
      <c r="D32" s="530" t="s">
        <v>1060</v>
      </c>
      <c r="E32" s="530">
        <v>13596</v>
      </c>
      <c r="F32" s="530">
        <v>689</v>
      </c>
      <c r="G32" s="530">
        <v>689</v>
      </c>
      <c r="H32" s="530">
        <v>454</v>
      </c>
      <c r="I32" s="530">
        <v>107</v>
      </c>
      <c r="J32" s="530">
        <v>3</v>
      </c>
      <c r="K32" s="530">
        <v>55</v>
      </c>
      <c r="L32" s="530">
        <v>0</v>
      </c>
      <c r="M32" s="530">
        <v>42</v>
      </c>
      <c r="N32" s="531"/>
    </row>
    <row r="33" spans="1:14" ht="16">
      <c r="A33" s="530" t="s">
        <v>1046</v>
      </c>
      <c r="B33" s="530" t="s">
        <v>1047</v>
      </c>
      <c r="C33" s="530" t="s">
        <v>45</v>
      </c>
      <c r="D33" s="530" t="s">
        <v>1061</v>
      </c>
      <c r="E33" s="530">
        <v>13596</v>
      </c>
      <c r="F33" s="530">
        <v>689</v>
      </c>
      <c r="G33" s="530">
        <v>689</v>
      </c>
      <c r="H33" s="530">
        <v>454</v>
      </c>
      <c r="I33" s="530">
        <v>107</v>
      </c>
      <c r="J33" s="530">
        <v>3</v>
      </c>
      <c r="K33" s="530">
        <v>55</v>
      </c>
      <c r="L33" s="530">
        <v>0</v>
      </c>
      <c r="M33" s="530">
        <v>42</v>
      </c>
      <c r="N33" s="531"/>
    </row>
    <row r="34" spans="1:14" ht="16">
      <c r="A34" s="530" t="s">
        <v>1046</v>
      </c>
      <c r="B34" s="530" t="s">
        <v>1047</v>
      </c>
      <c r="C34" s="530" t="s">
        <v>45</v>
      </c>
      <c r="D34" s="530" t="s">
        <v>1062</v>
      </c>
      <c r="E34" s="530">
        <v>13538</v>
      </c>
      <c r="F34" s="530">
        <v>735</v>
      </c>
      <c r="G34" s="530">
        <v>735</v>
      </c>
      <c r="H34" s="530">
        <v>446</v>
      </c>
      <c r="I34" s="530">
        <v>138</v>
      </c>
      <c r="J34" s="530">
        <v>7</v>
      </c>
      <c r="K34" s="530">
        <v>9</v>
      </c>
      <c r="L34" s="530">
        <v>9</v>
      </c>
      <c r="M34" s="530">
        <v>0</v>
      </c>
      <c r="N34" s="531"/>
    </row>
    <row r="35" spans="1:14" ht="16">
      <c r="A35" s="530" t="s">
        <v>1046</v>
      </c>
      <c r="B35" s="530" t="s">
        <v>1047</v>
      </c>
      <c r="C35" s="530" t="s">
        <v>45</v>
      </c>
      <c r="D35" s="530" t="s">
        <v>1063</v>
      </c>
      <c r="E35" s="530">
        <v>13538</v>
      </c>
      <c r="F35" s="530">
        <v>735</v>
      </c>
      <c r="G35" s="530">
        <v>735</v>
      </c>
      <c r="H35" s="530">
        <v>446</v>
      </c>
      <c r="I35" s="530">
        <v>138</v>
      </c>
      <c r="J35" s="530">
        <v>7</v>
      </c>
      <c r="K35" s="530">
        <v>9</v>
      </c>
      <c r="L35" s="530">
        <v>9</v>
      </c>
      <c r="M35" s="530">
        <v>0</v>
      </c>
      <c r="N35" s="531"/>
    </row>
    <row r="36" spans="1:14" ht="16">
      <c r="A36" s="530" t="s">
        <v>1046</v>
      </c>
      <c r="B36" s="530" t="s">
        <v>1047</v>
      </c>
      <c r="C36" s="530" t="s">
        <v>45</v>
      </c>
      <c r="D36" s="530" t="s">
        <v>1064</v>
      </c>
      <c r="E36" s="530">
        <v>15904</v>
      </c>
      <c r="F36" s="530">
        <v>744</v>
      </c>
      <c r="G36" s="530">
        <v>744</v>
      </c>
      <c r="H36" s="530">
        <v>503</v>
      </c>
      <c r="I36" s="530">
        <v>63</v>
      </c>
      <c r="J36" s="530">
        <v>12</v>
      </c>
      <c r="K36" s="530">
        <v>0</v>
      </c>
      <c r="L36" s="530">
        <v>0</v>
      </c>
      <c r="M36" s="530">
        <v>0</v>
      </c>
      <c r="N36" s="531"/>
    </row>
    <row r="37" spans="1:14" ht="16">
      <c r="A37" s="530" t="s">
        <v>1046</v>
      </c>
      <c r="B37" s="530" t="s">
        <v>1047</v>
      </c>
      <c r="C37" s="530" t="s">
        <v>45</v>
      </c>
      <c r="D37" s="530" t="s">
        <v>1065</v>
      </c>
      <c r="E37" s="530">
        <v>15904</v>
      </c>
      <c r="F37" s="530">
        <v>744</v>
      </c>
      <c r="G37" s="530">
        <v>744</v>
      </c>
      <c r="H37" s="530">
        <v>503</v>
      </c>
      <c r="I37" s="530">
        <v>63</v>
      </c>
      <c r="J37" s="530">
        <v>12</v>
      </c>
      <c r="K37" s="530">
        <v>0</v>
      </c>
      <c r="L37" s="530">
        <v>0</v>
      </c>
      <c r="M37" s="530">
        <v>0</v>
      </c>
      <c r="N37" s="531"/>
    </row>
    <row r="38" spans="1:14" ht="16">
      <c r="A38" s="530" t="s">
        <v>1046</v>
      </c>
      <c r="B38" s="530" t="s">
        <v>1047</v>
      </c>
      <c r="C38" s="530" t="s">
        <v>45</v>
      </c>
      <c r="D38" s="530" t="s">
        <v>1066</v>
      </c>
      <c r="E38" s="530">
        <v>14970</v>
      </c>
      <c r="F38" s="530">
        <v>744</v>
      </c>
      <c r="G38" s="530">
        <v>744</v>
      </c>
      <c r="H38" s="530">
        <v>494</v>
      </c>
      <c r="I38" s="530">
        <v>100</v>
      </c>
      <c r="J38" s="530">
        <v>12</v>
      </c>
      <c r="K38" s="530">
        <v>0</v>
      </c>
      <c r="L38" s="530">
        <v>0</v>
      </c>
      <c r="M38" s="530">
        <v>0</v>
      </c>
      <c r="N38" s="531"/>
    </row>
    <row r="39" spans="1:14" ht="16">
      <c r="A39" s="530" t="s">
        <v>1046</v>
      </c>
      <c r="B39" s="530" t="s">
        <v>1047</v>
      </c>
      <c r="C39" s="530" t="s">
        <v>45</v>
      </c>
      <c r="D39" s="530" t="s">
        <v>1067</v>
      </c>
      <c r="E39" s="530">
        <v>14970</v>
      </c>
      <c r="F39" s="530">
        <v>744</v>
      </c>
      <c r="G39" s="530">
        <v>744</v>
      </c>
      <c r="H39" s="530">
        <v>494</v>
      </c>
      <c r="I39" s="530">
        <v>100</v>
      </c>
      <c r="J39" s="530">
        <v>12</v>
      </c>
      <c r="K39" s="530">
        <v>0</v>
      </c>
      <c r="L39" s="530">
        <v>0</v>
      </c>
      <c r="M39" s="530">
        <v>0</v>
      </c>
      <c r="N39" s="531"/>
    </row>
    <row r="40" spans="1:14" ht="16">
      <c r="A40" s="530" t="s">
        <v>1046</v>
      </c>
      <c r="B40" s="530" t="s">
        <v>1047</v>
      </c>
      <c r="C40" s="530" t="s">
        <v>45</v>
      </c>
      <c r="D40" s="530" t="s">
        <v>1068</v>
      </c>
      <c r="E40" s="530">
        <v>15266</v>
      </c>
      <c r="F40" s="530">
        <v>706</v>
      </c>
      <c r="G40" s="530">
        <v>706</v>
      </c>
      <c r="H40" s="530">
        <v>495</v>
      </c>
      <c r="I40" s="530">
        <v>62</v>
      </c>
      <c r="J40" s="530">
        <v>28</v>
      </c>
      <c r="K40" s="530">
        <v>38</v>
      </c>
      <c r="L40" s="530">
        <v>38</v>
      </c>
      <c r="M40" s="530">
        <v>0</v>
      </c>
      <c r="N40" s="531"/>
    </row>
    <row r="41" spans="1:14" ht="16">
      <c r="A41" s="530" t="s">
        <v>1046</v>
      </c>
      <c r="B41" s="530" t="s">
        <v>1047</v>
      </c>
      <c r="C41" s="530" t="s">
        <v>45</v>
      </c>
      <c r="D41" s="530" t="s">
        <v>1069</v>
      </c>
      <c r="E41" s="530">
        <v>15266</v>
      </c>
      <c r="F41" s="530">
        <v>706</v>
      </c>
      <c r="G41" s="530">
        <v>706</v>
      </c>
      <c r="H41" s="530">
        <v>495</v>
      </c>
      <c r="I41" s="530">
        <v>62</v>
      </c>
      <c r="J41" s="530">
        <v>28</v>
      </c>
      <c r="K41" s="530">
        <v>38</v>
      </c>
      <c r="L41" s="530">
        <v>38</v>
      </c>
      <c r="M41" s="530">
        <v>0</v>
      </c>
      <c r="N41" s="531"/>
    </row>
    <row r="42" spans="1:14" ht="16">
      <c r="A42" s="530" t="s">
        <v>1046</v>
      </c>
      <c r="B42" s="530" t="s">
        <v>1047</v>
      </c>
      <c r="C42" s="530" t="s">
        <v>45</v>
      </c>
      <c r="D42" s="530" t="s">
        <v>1070</v>
      </c>
      <c r="E42" s="530">
        <v>13352</v>
      </c>
      <c r="F42" s="530">
        <v>717</v>
      </c>
      <c r="G42" s="530">
        <v>717</v>
      </c>
      <c r="H42" s="530">
        <v>464</v>
      </c>
      <c r="I42" s="530">
        <v>28</v>
      </c>
      <c r="J42" s="530">
        <v>17</v>
      </c>
      <c r="K42" s="530">
        <v>27</v>
      </c>
      <c r="L42" s="530">
        <v>27</v>
      </c>
      <c r="M42" s="530">
        <v>0</v>
      </c>
      <c r="N42" s="531"/>
    </row>
    <row r="43" spans="1:14" ht="16">
      <c r="A43" s="530" t="s">
        <v>1046</v>
      </c>
      <c r="B43" s="530" t="s">
        <v>1047</v>
      </c>
      <c r="C43" s="530" t="s">
        <v>45</v>
      </c>
      <c r="D43" s="530" t="s">
        <v>1071</v>
      </c>
      <c r="E43" s="530">
        <v>13352</v>
      </c>
      <c r="F43" s="530">
        <v>717</v>
      </c>
      <c r="G43" s="530">
        <v>717</v>
      </c>
      <c r="H43" s="530">
        <v>464</v>
      </c>
      <c r="I43" s="530">
        <v>28</v>
      </c>
      <c r="J43" s="530">
        <v>17</v>
      </c>
      <c r="K43" s="530">
        <v>27</v>
      </c>
      <c r="L43" s="530">
        <v>27</v>
      </c>
      <c r="M43" s="530">
        <v>0</v>
      </c>
      <c r="N43" s="531"/>
    </row>
    <row r="44" spans="1:14" ht="16">
      <c r="A44" s="530" t="s">
        <v>1046</v>
      </c>
      <c r="B44" s="530" t="s">
        <v>1047</v>
      </c>
      <c r="C44" s="530" t="s">
        <v>45</v>
      </c>
      <c r="D44" s="530" t="s">
        <v>1072</v>
      </c>
      <c r="E44" s="530">
        <v>13623</v>
      </c>
      <c r="F44" s="530">
        <v>744</v>
      </c>
      <c r="G44" s="530">
        <v>744</v>
      </c>
      <c r="H44" s="530">
        <v>457</v>
      </c>
      <c r="I44" s="530">
        <v>33</v>
      </c>
      <c r="J44" s="530">
        <v>17</v>
      </c>
      <c r="K44" s="530">
        <v>0</v>
      </c>
      <c r="L44" s="530">
        <v>0</v>
      </c>
      <c r="M44" s="530">
        <v>0</v>
      </c>
      <c r="N44" s="531"/>
    </row>
    <row r="45" spans="1:14" ht="16">
      <c r="A45" s="530" t="s">
        <v>1046</v>
      </c>
      <c r="B45" s="530" t="s">
        <v>1047</v>
      </c>
      <c r="C45" s="530" t="s">
        <v>45</v>
      </c>
      <c r="D45" s="530" t="s">
        <v>1073</v>
      </c>
      <c r="E45" s="530">
        <v>13623</v>
      </c>
      <c r="F45" s="530">
        <v>744</v>
      </c>
      <c r="G45" s="530">
        <v>744</v>
      </c>
      <c r="H45" s="530">
        <v>457</v>
      </c>
      <c r="I45" s="530">
        <v>33</v>
      </c>
      <c r="J45" s="530">
        <v>17</v>
      </c>
      <c r="K45" s="530">
        <v>0</v>
      </c>
      <c r="L45" s="530">
        <v>0</v>
      </c>
      <c r="M45" s="530">
        <v>0</v>
      </c>
      <c r="N45" s="531"/>
    </row>
    <row r="46" spans="1:14" ht="16">
      <c r="A46" s="530" t="s">
        <v>1046</v>
      </c>
      <c r="B46" s="530" t="s">
        <v>1047</v>
      </c>
      <c r="C46" s="530" t="s">
        <v>45</v>
      </c>
      <c r="D46" s="530" t="s">
        <v>1074</v>
      </c>
      <c r="E46" s="530">
        <v>11021</v>
      </c>
      <c r="F46" s="530">
        <v>659</v>
      </c>
      <c r="G46" s="530">
        <v>659</v>
      </c>
      <c r="H46" s="530">
        <v>444</v>
      </c>
      <c r="I46" s="530">
        <v>86</v>
      </c>
      <c r="J46" s="530">
        <v>15</v>
      </c>
      <c r="K46" s="530">
        <v>85</v>
      </c>
      <c r="L46" s="530">
        <v>35</v>
      </c>
      <c r="M46" s="530">
        <v>47</v>
      </c>
      <c r="N46" s="531"/>
    </row>
    <row r="47" spans="1:14" ht="16">
      <c r="A47" s="530" t="s">
        <v>1046</v>
      </c>
      <c r="B47" s="530" t="s">
        <v>1047</v>
      </c>
      <c r="C47" s="530" t="s">
        <v>45</v>
      </c>
      <c r="D47" s="530" t="s">
        <v>1075</v>
      </c>
      <c r="E47" s="530">
        <v>11021</v>
      </c>
      <c r="F47" s="530">
        <v>659</v>
      </c>
      <c r="G47" s="530">
        <v>659</v>
      </c>
      <c r="H47" s="530">
        <v>444</v>
      </c>
      <c r="I47" s="530">
        <v>86</v>
      </c>
      <c r="J47" s="530">
        <v>15</v>
      </c>
      <c r="K47" s="530">
        <v>85</v>
      </c>
      <c r="L47" s="530">
        <v>35</v>
      </c>
      <c r="M47" s="530">
        <v>47</v>
      </c>
      <c r="N47" s="531"/>
    </row>
    <row r="48" spans="1:14" ht="16">
      <c r="A48" s="530" t="s">
        <v>1046</v>
      </c>
      <c r="B48" s="530" t="s">
        <v>1047</v>
      </c>
      <c r="C48" s="530" t="s">
        <v>45</v>
      </c>
      <c r="D48" s="530" t="s">
        <v>1076</v>
      </c>
      <c r="E48" s="530">
        <v>13172</v>
      </c>
      <c r="F48" s="530">
        <v>714</v>
      </c>
      <c r="G48" s="530">
        <v>714</v>
      </c>
      <c r="H48" s="530">
        <v>449</v>
      </c>
      <c r="I48" s="530">
        <v>90</v>
      </c>
      <c r="J48" s="530">
        <v>21</v>
      </c>
      <c r="K48" s="530">
        <v>30</v>
      </c>
      <c r="L48" s="530">
        <v>30</v>
      </c>
      <c r="M48" s="530">
        <v>0</v>
      </c>
      <c r="N48" s="531"/>
    </row>
    <row r="49" spans="1:14" ht="16">
      <c r="A49" s="530" t="s">
        <v>1046</v>
      </c>
      <c r="B49" s="530" t="s">
        <v>1047</v>
      </c>
      <c r="C49" s="530" t="s">
        <v>45</v>
      </c>
      <c r="D49" s="530" t="s">
        <v>1077</v>
      </c>
      <c r="E49" s="530">
        <v>13172</v>
      </c>
      <c r="F49" s="530">
        <v>714</v>
      </c>
      <c r="G49" s="530">
        <v>714</v>
      </c>
      <c r="H49" s="530">
        <v>449</v>
      </c>
      <c r="I49" s="530">
        <v>90</v>
      </c>
      <c r="J49" s="530">
        <v>21</v>
      </c>
      <c r="K49" s="530">
        <v>30</v>
      </c>
      <c r="L49" s="530">
        <v>30</v>
      </c>
      <c r="M49" s="530">
        <v>0</v>
      </c>
      <c r="N49" s="531"/>
    </row>
    <row r="50" spans="1:14" ht="16">
      <c r="A50" s="530" t="s">
        <v>1046</v>
      </c>
      <c r="B50" s="530" t="s">
        <v>1047</v>
      </c>
      <c r="C50" s="530" t="s">
        <v>45</v>
      </c>
      <c r="D50" s="530" t="s">
        <v>1078</v>
      </c>
      <c r="E50" s="530">
        <v>15749</v>
      </c>
      <c r="F50" s="530">
        <v>721</v>
      </c>
      <c r="G50" s="530">
        <v>721</v>
      </c>
      <c r="H50" s="530">
        <v>452</v>
      </c>
      <c r="I50" s="530">
        <v>49</v>
      </c>
      <c r="J50" s="530">
        <v>12</v>
      </c>
      <c r="K50" s="530">
        <v>23</v>
      </c>
      <c r="L50" s="530">
        <v>16</v>
      </c>
      <c r="M50" s="530">
        <v>7</v>
      </c>
      <c r="N50" s="531"/>
    </row>
    <row r="51" spans="1:14" ht="16">
      <c r="A51" s="530" t="s">
        <v>1046</v>
      </c>
      <c r="B51" s="530" t="s">
        <v>1047</v>
      </c>
      <c r="C51" s="530" t="s">
        <v>45</v>
      </c>
      <c r="D51" s="530" t="s">
        <v>1079</v>
      </c>
      <c r="E51" s="530">
        <v>15749</v>
      </c>
      <c r="F51" s="530">
        <v>721</v>
      </c>
      <c r="G51" s="530">
        <v>721</v>
      </c>
      <c r="H51" s="530">
        <v>452</v>
      </c>
      <c r="I51" s="530">
        <v>49</v>
      </c>
      <c r="J51" s="530">
        <v>12</v>
      </c>
      <c r="K51" s="530">
        <v>23</v>
      </c>
      <c r="L51" s="530">
        <v>16</v>
      </c>
      <c r="M51" s="530">
        <v>7</v>
      </c>
      <c r="N51" s="531"/>
    </row>
    <row r="52" spans="1:14" ht="16">
      <c r="A52" s="530" t="s">
        <v>1046</v>
      </c>
      <c r="B52" s="530" t="s">
        <v>1047</v>
      </c>
      <c r="C52" s="530" t="s">
        <v>45</v>
      </c>
      <c r="D52" s="530" t="s">
        <v>1080</v>
      </c>
      <c r="E52" s="530">
        <v>14200</v>
      </c>
      <c r="F52" s="530">
        <v>720</v>
      </c>
      <c r="G52" s="530">
        <v>720</v>
      </c>
      <c r="H52" s="530">
        <v>503</v>
      </c>
      <c r="I52" s="530">
        <v>81</v>
      </c>
      <c r="J52" s="530">
        <v>12</v>
      </c>
      <c r="K52" s="530">
        <v>24</v>
      </c>
      <c r="L52" s="530">
        <v>17</v>
      </c>
      <c r="M52" s="530">
        <v>7</v>
      </c>
      <c r="N52" s="531"/>
    </row>
    <row r="53" spans="1:14" ht="16">
      <c r="A53" s="530" t="s">
        <v>1046</v>
      </c>
      <c r="B53" s="530" t="s">
        <v>1047</v>
      </c>
      <c r="C53" s="530" t="s">
        <v>45</v>
      </c>
      <c r="D53" s="530" t="s">
        <v>1081</v>
      </c>
      <c r="E53" s="530">
        <v>14200</v>
      </c>
      <c r="F53" s="530">
        <v>720</v>
      </c>
      <c r="G53" s="530">
        <v>720</v>
      </c>
      <c r="H53" s="530">
        <v>503</v>
      </c>
      <c r="I53" s="530">
        <v>81</v>
      </c>
      <c r="J53" s="530">
        <v>12</v>
      </c>
      <c r="K53" s="530">
        <v>24</v>
      </c>
      <c r="L53" s="530">
        <v>17</v>
      </c>
      <c r="M53" s="530">
        <v>7</v>
      </c>
      <c r="N53" s="531"/>
    </row>
    <row r="54" spans="1:14" ht="16">
      <c r="A54" s="530" t="s">
        <v>1046</v>
      </c>
      <c r="B54" s="530" t="s">
        <v>1047</v>
      </c>
      <c r="C54" s="530" t="s">
        <v>45</v>
      </c>
      <c r="D54" s="530" t="s">
        <v>1082</v>
      </c>
      <c r="E54" s="530">
        <v>12802</v>
      </c>
      <c r="F54" s="530">
        <v>678</v>
      </c>
      <c r="G54" s="530">
        <v>678</v>
      </c>
      <c r="H54" s="530">
        <v>399</v>
      </c>
      <c r="I54" s="530">
        <v>42</v>
      </c>
      <c r="J54" s="530">
        <v>15</v>
      </c>
      <c r="K54" s="530">
        <v>66</v>
      </c>
      <c r="L54" s="530">
        <v>66</v>
      </c>
      <c r="M54" s="530">
        <v>0</v>
      </c>
      <c r="N54" s="531"/>
    </row>
    <row r="55" spans="1:14" ht="16">
      <c r="A55" s="530" t="s">
        <v>1046</v>
      </c>
      <c r="B55" s="530" t="s">
        <v>1047</v>
      </c>
      <c r="C55" s="530" t="s">
        <v>45</v>
      </c>
      <c r="D55" s="530" t="s">
        <v>1083</v>
      </c>
      <c r="E55" s="530">
        <v>12802</v>
      </c>
      <c r="F55" s="530">
        <v>678</v>
      </c>
      <c r="G55" s="530">
        <v>678</v>
      </c>
      <c r="H55" s="530">
        <v>399</v>
      </c>
      <c r="I55" s="530">
        <v>42</v>
      </c>
      <c r="J55" s="530">
        <v>15</v>
      </c>
      <c r="K55" s="530">
        <v>66</v>
      </c>
      <c r="L55" s="530">
        <v>66</v>
      </c>
      <c r="M55" s="530">
        <v>0</v>
      </c>
      <c r="N55" s="531"/>
    </row>
    <row r="56" spans="1:14" ht="16">
      <c r="A56" s="530" t="s">
        <v>1046</v>
      </c>
      <c r="B56" s="530" t="s">
        <v>1047</v>
      </c>
      <c r="C56" s="530" t="s">
        <v>45</v>
      </c>
      <c r="D56" s="530" t="s">
        <v>1084</v>
      </c>
      <c r="E56" s="530">
        <v>14418</v>
      </c>
      <c r="F56" s="530">
        <v>707</v>
      </c>
      <c r="G56" s="530">
        <v>707</v>
      </c>
      <c r="H56" s="530">
        <v>487</v>
      </c>
      <c r="I56" s="530">
        <v>58</v>
      </c>
      <c r="J56" s="530">
        <v>16</v>
      </c>
      <c r="K56" s="530">
        <v>37</v>
      </c>
      <c r="L56" s="530">
        <v>25</v>
      </c>
      <c r="M56" s="530">
        <v>12</v>
      </c>
      <c r="N56" s="531"/>
    </row>
    <row r="57" spans="1:14" ht="16">
      <c r="A57" s="530" t="s">
        <v>1046</v>
      </c>
      <c r="B57" s="530" t="s">
        <v>1047</v>
      </c>
      <c r="C57" s="530" t="s">
        <v>45</v>
      </c>
      <c r="D57" s="530" t="s">
        <v>1085</v>
      </c>
      <c r="E57" s="530">
        <v>14418</v>
      </c>
      <c r="F57" s="530">
        <v>707</v>
      </c>
      <c r="G57" s="530">
        <v>707</v>
      </c>
      <c r="H57" s="530">
        <v>487</v>
      </c>
      <c r="I57" s="530">
        <v>58</v>
      </c>
      <c r="J57" s="530">
        <v>16</v>
      </c>
      <c r="K57" s="530">
        <v>37</v>
      </c>
      <c r="L57" s="530">
        <v>25</v>
      </c>
      <c r="M57" s="530">
        <v>12</v>
      </c>
      <c r="N57" s="531"/>
    </row>
    <row r="58" spans="1:14" ht="16">
      <c r="A58" s="530" t="s">
        <v>1046</v>
      </c>
      <c r="B58" s="530" t="s">
        <v>1047</v>
      </c>
      <c r="C58" s="530" t="s">
        <v>45</v>
      </c>
      <c r="D58" s="530" t="s">
        <v>1086</v>
      </c>
      <c r="E58" s="530">
        <v>14909</v>
      </c>
      <c r="F58" s="530">
        <v>737</v>
      </c>
      <c r="G58" s="530">
        <v>737</v>
      </c>
      <c r="H58" s="530">
        <v>459</v>
      </c>
      <c r="I58" s="530">
        <v>30</v>
      </c>
      <c r="J58" s="530">
        <v>65</v>
      </c>
      <c r="K58" s="530">
        <v>7</v>
      </c>
      <c r="L58" s="530">
        <v>0</v>
      </c>
      <c r="M58" s="530">
        <v>7</v>
      </c>
      <c r="N58" s="531"/>
    </row>
    <row r="59" spans="1:14" ht="16">
      <c r="A59" s="530" t="s">
        <v>1046</v>
      </c>
      <c r="B59" s="530" t="s">
        <v>1047</v>
      </c>
      <c r="C59" s="530" t="s">
        <v>45</v>
      </c>
      <c r="D59" s="530" t="s">
        <v>1087</v>
      </c>
      <c r="E59" s="530">
        <v>14909</v>
      </c>
      <c r="F59" s="530">
        <v>737</v>
      </c>
      <c r="G59" s="530">
        <v>737</v>
      </c>
      <c r="H59" s="530">
        <v>459</v>
      </c>
      <c r="I59" s="530">
        <v>30</v>
      </c>
      <c r="J59" s="530">
        <v>65</v>
      </c>
      <c r="K59" s="530">
        <v>7</v>
      </c>
      <c r="L59" s="530">
        <v>0</v>
      </c>
      <c r="M59" s="530">
        <v>7</v>
      </c>
      <c r="N59" s="531"/>
    </row>
    <row r="60" spans="1:14" ht="16">
      <c r="A60" s="530" t="s">
        <v>1046</v>
      </c>
      <c r="B60" s="530" t="s">
        <v>1047</v>
      </c>
      <c r="C60" s="530" t="s">
        <v>45</v>
      </c>
      <c r="D60" s="530" t="s">
        <v>1088</v>
      </c>
      <c r="E60" s="530">
        <v>15210</v>
      </c>
      <c r="F60" s="530">
        <v>744</v>
      </c>
      <c r="G60" s="530">
        <v>744</v>
      </c>
      <c r="H60" s="530">
        <v>484</v>
      </c>
      <c r="I60" s="530">
        <v>89</v>
      </c>
      <c r="J60" s="530">
        <v>16</v>
      </c>
      <c r="K60" s="530">
        <v>0</v>
      </c>
      <c r="L60" s="530">
        <v>0</v>
      </c>
      <c r="M60" s="530">
        <v>0</v>
      </c>
      <c r="N60" s="531"/>
    </row>
    <row r="61" spans="1:14" ht="16">
      <c r="A61" s="530" t="s">
        <v>1046</v>
      </c>
      <c r="B61" s="530" t="s">
        <v>1047</v>
      </c>
      <c r="C61" s="530" t="s">
        <v>45</v>
      </c>
      <c r="D61" s="530" t="s">
        <v>1089</v>
      </c>
      <c r="E61" s="530">
        <v>15210</v>
      </c>
      <c r="F61" s="530">
        <v>744</v>
      </c>
      <c r="G61" s="530">
        <v>744</v>
      </c>
      <c r="H61" s="530">
        <v>484</v>
      </c>
      <c r="I61" s="530">
        <v>89</v>
      </c>
      <c r="J61" s="530">
        <v>16</v>
      </c>
      <c r="K61" s="530">
        <v>0</v>
      </c>
      <c r="L61" s="530">
        <v>0</v>
      </c>
      <c r="M61" s="530">
        <v>0</v>
      </c>
      <c r="N61" s="531"/>
    </row>
    <row r="62" spans="1:14" ht="16">
      <c r="A62" s="530" t="s">
        <v>1046</v>
      </c>
      <c r="B62" s="530" t="s">
        <v>1047</v>
      </c>
      <c r="C62" s="530" t="s">
        <v>45</v>
      </c>
      <c r="D62" s="530" t="s">
        <v>1090</v>
      </c>
      <c r="E62" s="530">
        <v>13466</v>
      </c>
      <c r="F62" s="530">
        <v>744</v>
      </c>
      <c r="G62" s="530">
        <v>744</v>
      </c>
      <c r="H62" s="530">
        <v>464</v>
      </c>
      <c r="I62" s="530">
        <v>125</v>
      </c>
      <c r="J62" s="530">
        <v>28</v>
      </c>
      <c r="K62" s="530">
        <v>0</v>
      </c>
      <c r="L62" s="530">
        <v>0</v>
      </c>
      <c r="M62" s="530">
        <v>0</v>
      </c>
      <c r="N62" s="531"/>
    </row>
    <row r="63" spans="1:14" ht="16">
      <c r="A63" s="530" t="s">
        <v>1046</v>
      </c>
      <c r="B63" s="530" t="s">
        <v>1047</v>
      </c>
      <c r="C63" s="530" t="s">
        <v>45</v>
      </c>
      <c r="D63" s="530" t="s">
        <v>1091</v>
      </c>
      <c r="E63" s="530">
        <v>13466</v>
      </c>
      <c r="F63" s="530">
        <v>744</v>
      </c>
      <c r="G63" s="530">
        <v>744</v>
      </c>
      <c r="H63" s="530">
        <v>464</v>
      </c>
      <c r="I63" s="530">
        <v>125</v>
      </c>
      <c r="J63" s="530">
        <v>28</v>
      </c>
      <c r="K63" s="530">
        <v>0</v>
      </c>
      <c r="L63" s="530">
        <v>0</v>
      </c>
      <c r="M63" s="530">
        <v>0</v>
      </c>
      <c r="N63" s="531"/>
    </row>
    <row r="64" spans="1:14" ht="16">
      <c r="A64" s="530" t="s">
        <v>1046</v>
      </c>
      <c r="B64" s="530" t="s">
        <v>1047</v>
      </c>
      <c r="C64" s="530" t="s">
        <v>45</v>
      </c>
      <c r="D64" s="530" t="s">
        <v>1092</v>
      </c>
      <c r="E64" s="530">
        <v>13111</v>
      </c>
      <c r="F64" s="530">
        <v>744</v>
      </c>
      <c r="G64" s="530">
        <v>744</v>
      </c>
      <c r="H64" s="530">
        <v>466</v>
      </c>
      <c r="I64" s="530">
        <v>111</v>
      </c>
      <c r="J64" s="530">
        <v>14</v>
      </c>
      <c r="K64" s="530">
        <v>0</v>
      </c>
      <c r="L64" s="530">
        <v>0</v>
      </c>
      <c r="M64" s="530">
        <v>0</v>
      </c>
      <c r="N64" s="531"/>
    </row>
    <row r="65" spans="1:14" ht="16">
      <c r="A65" s="530" t="s">
        <v>1046</v>
      </c>
      <c r="B65" s="530" t="s">
        <v>1047</v>
      </c>
      <c r="C65" s="530" t="s">
        <v>45</v>
      </c>
      <c r="D65" s="530" t="s">
        <v>1093</v>
      </c>
      <c r="E65" s="530">
        <v>13111</v>
      </c>
      <c r="F65" s="530">
        <v>744</v>
      </c>
      <c r="G65" s="530">
        <v>744</v>
      </c>
      <c r="H65" s="530">
        <v>466</v>
      </c>
      <c r="I65" s="530">
        <v>111</v>
      </c>
      <c r="J65" s="530">
        <v>14</v>
      </c>
      <c r="K65" s="530">
        <v>0</v>
      </c>
      <c r="L65" s="530">
        <v>0</v>
      </c>
      <c r="M65" s="530">
        <v>0</v>
      </c>
      <c r="N65" s="531"/>
    </row>
    <row r="66" spans="1:14" ht="16">
      <c r="A66" s="530" t="s">
        <v>1046</v>
      </c>
      <c r="B66" s="530" t="s">
        <v>1047</v>
      </c>
      <c r="C66" s="530" t="s">
        <v>45</v>
      </c>
      <c r="D66" s="530" t="s">
        <v>1094</v>
      </c>
      <c r="E66" s="530">
        <v>15963</v>
      </c>
      <c r="F66" s="530">
        <v>744</v>
      </c>
      <c r="G66" s="530">
        <v>744</v>
      </c>
      <c r="H66" s="530">
        <v>488</v>
      </c>
      <c r="I66" s="530">
        <v>72</v>
      </c>
      <c r="J66" s="530">
        <v>15</v>
      </c>
      <c r="K66" s="530">
        <v>0</v>
      </c>
      <c r="L66" s="530">
        <v>0</v>
      </c>
      <c r="M66" s="530">
        <v>0</v>
      </c>
      <c r="N66" s="531"/>
    </row>
    <row r="67" spans="1:14" ht="16">
      <c r="A67" s="530" t="s">
        <v>1046</v>
      </c>
      <c r="B67" s="530" t="s">
        <v>1047</v>
      </c>
      <c r="C67" s="530" t="s">
        <v>45</v>
      </c>
      <c r="D67" s="530" t="s">
        <v>1095</v>
      </c>
      <c r="E67" s="530">
        <v>15963</v>
      </c>
      <c r="F67" s="530">
        <v>744</v>
      </c>
      <c r="G67" s="530">
        <v>744</v>
      </c>
      <c r="H67" s="530">
        <v>488</v>
      </c>
      <c r="I67" s="530">
        <v>72</v>
      </c>
      <c r="J67" s="530">
        <v>15</v>
      </c>
      <c r="K67" s="530">
        <v>0</v>
      </c>
      <c r="L67" s="530">
        <v>0</v>
      </c>
      <c r="M67" s="530">
        <v>0</v>
      </c>
      <c r="N67" s="531"/>
    </row>
    <row r="68" spans="1:14" ht="16">
      <c r="A68" s="530" t="s">
        <v>1046</v>
      </c>
      <c r="B68" s="530" t="s">
        <v>1047</v>
      </c>
      <c r="C68" s="530" t="s">
        <v>45</v>
      </c>
      <c r="D68" s="530" t="s">
        <v>1096</v>
      </c>
      <c r="E68" s="530">
        <v>14190</v>
      </c>
      <c r="F68" s="530">
        <v>683</v>
      </c>
      <c r="G68" s="530">
        <v>683</v>
      </c>
      <c r="H68" s="530">
        <v>461</v>
      </c>
      <c r="I68" s="530">
        <v>94</v>
      </c>
      <c r="J68" s="530">
        <v>12</v>
      </c>
      <c r="K68" s="530">
        <v>61</v>
      </c>
      <c r="L68" s="530">
        <v>61</v>
      </c>
      <c r="M68" s="530">
        <v>0</v>
      </c>
      <c r="N68" s="531"/>
    </row>
    <row r="69" spans="1:14" ht="16">
      <c r="A69" s="530" t="s">
        <v>1046</v>
      </c>
      <c r="B69" s="530" t="s">
        <v>1047</v>
      </c>
      <c r="C69" s="530" t="s">
        <v>45</v>
      </c>
      <c r="D69" s="530" t="s">
        <v>1097</v>
      </c>
      <c r="E69" s="530">
        <v>14190</v>
      </c>
      <c r="F69" s="530">
        <v>683</v>
      </c>
      <c r="G69" s="530">
        <v>683</v>
      </c>
      <c r="H69" s="530">
        <v>461</v>
      </c>
      <c r="I69" s="530">
        <v>94</v>
      </c>
      <c r="J69" s="530">
        <v>12</v>
      </c>
      <c r="K69" s="530">
        <v>61</v>
      </c>
      <c r="L69" s="530">
        <v>61</v>
      </c>
      <c r="M69" s="530">
        <v>0</v>
      </c>
      <c r="N69" s="531"/>
    </row>
    <row r="70" spans="1:14" ht="16">
      <c r="A70" s="530" t="s">
        <v>1046</v>
      </c>
      <c r="B70" s="530" t="s">
        <v>1047</v>
      </c>
      <c r="C70" s="530" t="s">
        <v>45</v>
      </c>
      <c r="D70" s="530" t="s">
        <v>1098</v>
      </c>
      <c r="E70" s="530">
        <v>12140</v>
      </c>
      <c r="F70" s="530">
        <v>744</v>
      </c>
      <c r="G70" s="530">
        <v>744</v>
      </c>
      <c r="H70" s="530">
        <v>455</v>
      </c>
      <c r="I70" s="530">
        <v>73</v>
      </c>
      <c r="J70" s="530">
        <v>19</v>
      </c>
      <c r="K70" s="530">
        <v>0</v>
      </c>
      <c r="L70" s="530">
        <v>0</v>
      </c>
      <c r="M70" s="530">
        <v>0</v>
      </c>
      <c r="N70" s="531"/>
    </row>
    <row r="71" spans="1:14" ht="16">
      <c r="A71" s="530" t="s">
        <v>1046</v>
      </c>
      <c r="B71" s="530" t="s">
        <v>1047</v>
      </c>
      <c r="C71" s="530" t="s">
        <v>45</v>
      </c>
      <c r="D71" s="530" t="s">
        <v>1099</v>
      </c>
      <c r="E71" s="530">
        <v>12140</v>
      </c>
      <c r="F71" s="530">
        <v>744</v>
      </c>
      <c r="G71" s="530">
        <v>744</v>
      </c>
      <c r="H71" s="530">
        <v>455</v>
      </c>
      <c r="I71" s="530">
        <v>73</v>
      </c>
      <c r="J71" s="530">
        <v>19</v>
      </c>
      <c r="K71" s="530">
        <v>0</v>
      </c>
      <c r="L71" s="530">
        <v>0</v>
      </c>
      <c r="M71" s="530">
        <v>0</v>
      </c>
      <c r="N71" s="531"/>
    </row>
    <row r="72" spans="1:14" ht="16">
      <c r="A72" s="530" t="s">
        <v>1046</v>
      </c>
      <c r="B72" s="530" t="s">
        <v>1047</v>
      </c>
      <c r="C72" s="530" t="s">
        <v>45</v>
      </c>
      <c r="D72" s="530" t="s">
        <v>1100</v>
      </c>
      <c r="E72" s="530">
        <v>7427</v>
      </c>
      <c r="F72" s="530">
        <v>470</v>
      </c>
      <c r="G72" s="530">
        <v>470</v>
      </c>
      <c r="H72" s="530">
        <v>263</v>
      </c>
      <c r="I72" s="530">
        <v>55</v>
      </c>
      <c r="J72" s="530">
        <v>2</v>
      </c>
      <c r="K72" s="530">
        <v>274</v>
      </c>
      <c r="L72" s="530">
        <v>0</v>
      </c>
      <c r="M72" s="530">
        <v>147</v>
      </c>
      <c r="N72" s="531"/>
    </row>
    <row r="73" spans="1:14" ht="16">
      <c r="A73" s="530" t="s">
        <v>1046</v>
      </c>
      <c r="B73" s="530" t="s">
        <v>1047</v>
      </c>
      <c r="C73" s="530" t="s">
        <v>45</v>
      </c>
      <c r="D73" s="530" t="s">
        <v>1101</v>
      </c>
      <c r="E73" s="530">
        <v>7427</v>
      </c>
      <c r="F73" s="530">
        <v>470</v>
      </c>
      <c r="G73" s="530">
        <v>470</v>
      </c>
      <c r="H73" s="530">
        <v>263</v>
      </c>
      <c r="I73" s="530">
        <v>55</v>
      </c>
      <c r="J73" s="530">
        <v>2</v>
      </c>
      <c r="K73" s="530">
        <v>274</v>
      </c>
      <c r="L73" s="530">
        <v>0</v>
      </c>
      <c r="M73" s="530">
        <v>147</v>
      </c>
      <c r="N73" s="531"/>
    </row>
    <row r="74" spans="1:14" ht="16">
      <c r="A74" s="530" t="s">
        <v>1046</v>
      </c>
      <c r="B74" s="530" t="s">
        <v>1047</v>
      </c>
      <c r="C74" s="530" t="s">
        <v>45</v>
      </c>
      <c r="D74" s="530" t="s">
        <v>1102</v>
      </c>
      <c r="E74" s="530">
        <v>13685</v>
      </c>
      <c r="F74" s="530">
        <v>705</v>
      </c>
      <c r="G74" s="530">
        <v>705</v>
      </c>
      <c r="H74" s="530">
        <v>430</v>
      </c>
      <c r="I74" s="530">
        <v>30</v>
      </c>
      <c r="J74" s="530">
        <v>5</v>
      </c>
      <c r="K74" s="530">
        <v>39</v>
      </c>
      <c r="L74" s="530">
        <v>10</v>
      </c>
      <c r="M74" s="530">
        <v>2</v>
      </c>
      <c r="N74" s="531"/>
    </row>
    <row r="75" spans="1:14" ht="16">
      <c r="A75" s="530" t="s">
        <v>1046</v>
      </c>
      <c r="B75" s="530" t="s">
        <v>1047</v>
      </c>
      <c r="C75" s="530" t="s">
        <v>45</v>
      </c>
      <c r="D75" s="530" t="s">
        <v>1103</v>
      </c>
      <c r="E75" s="530">
        <v>13685</v>
      </c>
      <c r="F75" s="530">
        <v>705</v>
      </c>
      <c r="G75" s="530">
        <v>705</v>
      </c>
      <c r="H75" s="530">
        <v>430</v>
      </c>
      <c r="I75" s="530">
        <v>30</v>
      </c>
      <c r="J75" s="530">
        <v>5</v>
      </c>
      <c r="K75" s="530">
        <v>39</v>
      </c>
      <c r="L75" s="530">
        <v>10</v>
      </c>
      <c r="M75" s="530">
        <v>2</v>
      </c>
      <c r="N75" s="531"/>
    </row>
    <row r="76" spans="1:14" ht="16">
      <c r="A76" s="530" t="s">
        <v>1046</v>
      </c>
      <c r="B76" s="530" t="s">
        <v>1047</v>
      </c>
      <c r="C76" s="530" t="s">
        <v>45</v>
      </c>
      <c r="D76" s="530" t="s">
        <v>1104</v>
      </c>
      <c r="E76" s="530">
        <v>14727</v>
      </c>
      <c r="F76" s="530">
        <v>744</v>
      </c>
      <c r="G76" s="530">
        <v>744</v>
      </c>
      <c r="H76" s="530">
        <v>493</v>
      </c>
      <c r="I76" s="530">
        <v>31</v>
      </c>
      <c r="J76" s="530">
        <v>8</v>
      </c>
      <c r="K76" s="530">
        <v>0</v>
      </c>
      <c r="L76" s="530">
        <v>0</v>
      </c>
      <c r="M76" s="530">
        <v>0</v>
      </c>
      <c r="N76" s="531"/>
    </row>
    <row r="77" spans="1:14" ht="16">
      <c r="A77" s="530" t="s">
        <v>1046</v>
      </c>
      <c r="B77" s="530" t="s">
        <v>1047</v>
      </c>
      <c r="C77" s="530" t="s">
        <v>45</v>
      </c>
      <c r="D77" s="530" t="s">
        <v>1105</v>
      </c>
      <c r="E77" s="530">
        <v>14727</v>
      </c>
      <c r="F77" s="530">
        <v>744</v>
      </c>
      <c r="G77" s="530">
        <v>744</v>
      </c>
      <c r="H77" s="530">
        <v>493</v>
      </c>
      <c r="I77" s="530">
        <v>31</v>
      </c>
      <c r="J77" s="530">
        <v>8</v>
      </c>
      <c r="K77" s="530">
        <v>0</v>
      </c>
      <c r="L77" s="530">
        <v>0</v>
      </c>
      <c r="M77" s="530">
        <v>0</v>
      </c>
      <c r="N77" s="531"/>
    </row>
    <row r="78" spans="1:14" ht="16">
      <c r="A78" s="530" t="s">
        <v>1046</v>
      </c>
      <c r="B78" s="530" t="s">
        <v>1047</v>
      </c>
      <c r="C78" s="530" t="s">
        <v>45</v>
      </c>
      <c r="D78" s="530" t="s">
        <v>1106</v>
      </c>
      <c r="E78" s="530">
        <v>13175</v>
      </c>
      <c r="F78" s="530">
        <v>671</v>
      </c>
      <c r="G78" s="530">
        <v>671</v>
      </c>
      <c r="H78" s="530">
        <v>455</v>
      </c>
      <c r="I78" s="530">
        <v>50</v>
      </c>
      <c r="J78" s="530">
        <v>10</v>
      </c>
      <c r="K78" s="530">
        <v>73</v>
      </c>
      <c r="L78" s="530">
        <v>73</v>
      </c>
      <c r="M78" s="530">
        <v>0</v>
      </c>
      <c r="N78" s="531"/>
    </row>
    <row r="79" spans="1:14" ht="16">
      <c r="A79" s="530" t="s">
        <v>1046</v>
      </c>
      <c r="B79" s="530" t="s">
        <v>1047</v>
      </c>
      <c r="C79" s="530" t="s">
        <v>45</v>
      </c>
      <c r="D79" s="530" t="s">
        <v>1107</v>
      </c>
      <c r="E79" s="530">
        <v>13175</v>
      </c>
      <c r="F79" s="530">
        <v>671</v>
      </c>
      <c r="G79" s="530">
        <v>671</v>
      </c>
      <c r="H79" s="530">
        <v>455</v>
      </c>
      <c r="I79" s="530">
        <v>50</v>
      </c>
      <c r="J79" s="530">
        <v>10</v>
      </c>
      <c r="K79" s="530">
        <v>73</v>
      </c>
      <c r="L79" s="530">
        <v>73</v>
      </c>
      <c r="M79" s="530">
        <v>0</v>
      </c>
      <c r="N79" s="531"/>
    </row>
    <row r="80" spans="1:14" ht="16">
      <c r="A80" s="530" t="s">
        <v>1046</v>
      </c>
      <c r="B80" s="530" t="s">
        <v>1047</v>
      </c>
      <c r="C80" s="530" t="s">
        <v>45</v>
      </c>
      <c r="D80" s="530" t="s">
        <v>1108</v>
      </c>
      <c r="E80" s="530">
        <v>14724</v>
      </c>
      <c r="F80" s="530">
        <v>714</v>
      </c>
      <c r="G80" s="530">
        <v>714</v>
      </c>
      <c r="H80" s="530">
        <v>463</v>
      </c>
      <c r="I80" s="530">
        <v>124</v>
      </c>
      <c r="J80" s="530">
        <v>8</v>
      </c>
      <c r="K80" s="530">
        <v>30</v>
      </c>
      <c r="L80" s="530">
        <v>30</v>
      </c>
      <c r="M80" s="530">
        <v>0</v>
      </c>
      <c r="N80" s="531"/>
    </row>
    <row r="81" spans="1:14" ht="16">
      <c r="A81" s="530" t="s">
        <v>1046</v>
      </c>
      <c r="B81" s="530" t="s">
        <v>1047</v>
      </c>
      <c r="C81" s="530" t="s">
        <v>45</v>
      </c>
      <c r="D81" s="530" t="s">
        <v>1109</v>
      </c>
      <c r="E81" s="530">
        <v>14724</v>
      </c>
      <c r="F81" s="530">
        <v>714</v>
      </c>
      <c r="G81" s="530">
        <v>714</v>
      </c>
      <c r="H81" s="530">
        <v>463</v>
      </c>
      <c r="I81" s="530">
        <v>124</v>
      </c>
      <c r="J81" s="530">
        <v>8</v>
      </c>
      <c r="K81" s="530">
        <v>30</v>
      </c>
      <c r="L81" s="530">
        <v>30</v>
      </c>
      <c r="M81" s="530">
        <v>0</v>
      </c>
      <c r="N81" s="531"/>
    </row>
    <row r="82" spans="1:14" ht="16">
      <c r="A82" s="530" t="s">
        <v>1046</v>
      </c>
      <c r="B82" s="530" t="s">
        <v>1047</v>
      </c>
      <c r="C82" s="530" t="s">
        <v>45</v>
      </c>
      <c r="D82" s="530" t="s">
        <v>1110</v>
      </c>
      <c r="E82" s="530">
        <v>13940</v>
      </c>
      <c r="F82" s="530">
        <v>712</v>
      </c>
      <c r="G82" s="530">
        <v>712</v>
      </c>
      <c r="H82" s="530">
        <v>467</v>
      </c>
      <c r="I82" s="530">
        <v>67</v>
      </c>
      <c r="J82" s="530">
        <v>22</v>
      </c>
      <c r="K82" s="530">
        <v>32</v>
      </c>
      <c r="L82" s="530">
        <v>32</v>
      </c>
      <c r="M82" s="530">
        <v>0</v>
      </c>
      <c r="N82" s="531"/>
    </row>
    <row r="83" spans="1:14" ht="16">
      <c r="A83" s="530" t="s">
        <v>1046</v>
      </c>
      <c r="B83" s="530" t="s">
        <v>1047</v>
      </c>
      <c r="C83" s="530" t="s">
        <v>45</v>
      </c>
      <c r="D83" s="530" t="s">
        <v>1111</v>
      </c>
      <c r="E83" s="530">
        <v>13940</v>
      </c>
      <c r="F83" s="530">
        <v>712</v>
      </c>
      <c r="G83" s="530">
        <v>712</v>
      </c>
      <c r="H83" s="530">
        <v>467</v>
      </c>
      <c r="I83" s="530">
        <v>67</v>
      </c>
      <c r="J83" s="530">
        <v>22</v>
      </c>
      <c r="K83" s="530">
        <v>32</v>
      </c>
      <c r="L83" s="530">
        <v>32</v>
      </c>
      <c r="M83" s="530">
        <v>0</v>
      </c>
      <c r="N83" s="531"/>
    </row>
    <row r="84" spans="1:14" ht="16">
      <c r="A84" s="530" t="s">
        <v>1046</v>
      </c>
      <c r="B84" s="530" t="s">
        <v>1047</v>
      </c>
      <c r="C84" s="530" t="s">
        <v>45</v>
      </c>
      <c r="D84" s="530" t="s">
        <v>1112</v>
      </c>
      <c r="E84" s="530">
        <v>13383</v>
      </c>
      <c r="F84" s="530">
        <v>741</v>
      </c>
      <c r="G84" s="530">
        <v>741</v>
      </c>
      <c r="H84" s="530">
        <v>472</v>
      </c>
      <c r="I84" s="530">
        <v>53</v>
      </c>
      <c r="J84" s="530">
        <v>9</v>
      </c>
      <c r="K84" s="530">
        <v>3</v>
      </c>
      <c r="L84" s="530">
        <v>0</v>
      </c>
      <c r="M84" s="530">
        <v>3</v>
      </c>
      <c r="N84" s="531"/>
    </row>
    <row r="85" spans="1:14" ht="16">
      <c r="A85" s="530" t="s">
        <v>1046</v>
      </c>
      <c r="B85" s="530" t="s">
        <v>1047</v>
      </c>
      <c r="C85" s="530" t="s">
        <v>45</v>
      </c>
      <c r="D85" s="530" t="s">
        <v>1113</v>
      </c>
      <c r="E85" s="530">
        <v>13383</v>
      </c>
      <c r="F85" s="530">
        <v>741</v>
      </c>
      <c r="G85" s="530">
        <v>741</v>
      </c>
      <c r="H85" s="530">
        <v>472</v>
      </c>
      <c r="I85" s="530">
        <v>53</v>
      </c>
      <c r="J85" s="530">
        <v>9</v>
      </c>
      <c r="K85" s="530">
        <v>3</v>
      </c>
      <c r="L85" s="530">
        <v>0</v>
      </c>
      <c r="M85" s="530">
        <v>3</v>
      </c>
      <c r="N85" s="531"/>
    </row>
    <row r="86" spans="1:14" ht="16">
      <c r="A86" s="530" t="s">
        <v>1046</v>
      </c>
      <c r="B86" s="530" t="s">
        <v>1047</v>
      </c>
      <c r="C86" s="530" t="s">
        <v>45</v>
      </c>
      <c r="D86" s="530" t="s">
        <v>1114</v>
      </c>
      <c r="E86" s="530">
        <v>14179</v>
      </c>
      <c r="F86" s="530">
        <v>744</v>
      </c>
      <c r="G86" s="530">
        <v>744</v>
      </c>
      <c r="H86" s="530">
        <v>467</v>
      </c>
      <c r="I86" s="530">
        <v>44</v>
      </c>
      <c r="J86" s="530">
        <v>18</v>
      </c>
      <c r="K86" s="530">
        <v>0</v>
      </c>
      <c r="L86" s="530">
        <v>0</v>
      </c>
      <c r="M86" s="530">
        <v>0</v>
      </c>
      <c r="N86" s="531"/>
    </row>
    <row r="87" spans="1:14" ht="16">
      <c r="A87" s="530" t="s">
        <v>1046</v>
      </c>
      <c r="B87" s="530" t="s">
        <v>1047</v>
      </c>
      <c r="C87" s="530" t="s">
        <v>45</v>
      </c>
      <c r="D87" s="530" t="s">
        <v>1115</v>
      </c>
      <c r="E87" s="530">
        <v>14179</v>
      </c>
      <c r="F87" s="530">
        <v>744</v>
      </c>
      <c r="G87" s="530">
        <v>744</v>
      </c>
      <c r="H87" s="530">
        <v>467</v>
      </c>
      <c r="I87" s="530">
        <v>44</v>
      </c>
      <c r="J87" s="530">
        <v>18</v>
      </c>
      <c r="K87" s="530">
        <v>0</v>
      </c>
      <c r="L87" s="530">
        <v>0</v>
      </c>
      <c r="M87" s="530">
        <v>0</v>
      </c>
      <c r="N87" s="531"/>
    </row>
    <row r="88" spans="1:14" ht="16">
      <c r="A88" s="530" t="s">
        <v>1046</v>
      </c>
      <c r="B88" s="530" t="s">
        <v>1047</v>
      </c>
      <c r="C88" s="530" t="s">
        <v>45</v>
      </c>
      <c r="D88" s="530" t="s">
        <v>1116</v>
      </c>
      <c r="E88" s="530">
        <v>13679</v>
      </c>
      <c r="F88" s="530">
        <v>720</v>
      </c>
      <c r="G88" s="530">
        <v>720</v>
      </c>
      <c r="H88" s="530">
        <v>454</v>
      </c>
      <c r="I88" s="530">
        <v>65</v>
      </c>
      <c r="J88" s="530">
        <v>17</v>
      </c>
      <c r="K88" s="530">
        <v>24</v>
      </c>
      <c r="L88" s="530">
        <v>0</v>
      </c>
      <c r="M88" s="530">
        <v>24</v>
      </c>
      <c r="N88" s="531"/>
    </row>
    <row r="89" spans="1:14" ht="16">
      <c r="A89" s="530" t="s">
        <v>1046</v>
      </c>
      <c r="B89" s="530" t="s">
        <v>1047</v>
      </c>
      <c r="C89" s="530" t="s">
        <v>45</v>
      </c>
      <c r="D89" s="530" t="s">
        <v>1117</v>
      </c>
      <c r="E89" s="530">
        <v>13679</v>
      </c>
      <c r="F89" s="530">
        <v>720</v>
      </c>
      <c r="G89" s="530">
        <v>720</v>
      </c>
      <c r="H89" s="530">
        <v>454</v>
      </c>
      <c r="I89" s="530">
        <v>65</v>
      </c>
      <c r="J89" s="530">
        <v>17</v>
      </c>
      <c r="K89" s="530">
        <v>24</v>
      </c>
      <c r="L89" s="530">
        <v>0</v>
      </c>
      <c r="M89" s="530">
        <v>24</v>
      </c>
      <c r="N89" s="531"/>
    </row>
    <row r="90" spans="1:14" ht="16">
      <c r="A90" s="530" t="s">
        <v>1046</v>
      </c>
      <c r="B90" s="530" t="s">
        <v>1047</v>
      </c>
      <c r="C90" s="530" t="s">
        <v>45</v>
      </c>
      <c r="D90" s="530" t="s">
        <v>1118</v>
      </c>
      <c r="E90" s="530">
        <v>13961</v>
      </c>
      <c r="F90" s="530">
        <v>620</v>
      </c>
      <c r="G90" s="530">
        <v>620</v>
      </c>
      <c r="H90" s="530">
        <v>413</v>
      </c>
      <c r="I90" s="530">
        <v>42</v>
      </c>
      <c r="J90" s="530">
        <v>5</v>
      </c>
      <c r="K90" s="530">
        <v>124</v>
      </c>
      <c r="L90" s="530">
        <v>0</v>
      </c>
      <c r="M90" s="530">
        <v>66</v>
      </c>
      <c r="N90" s="531"/>
    </row>
    <row r="91" spans="1:14" ht="16">
      <c r="A91" s="530" t="s">
        <v>1046</v>
      </c>
      <c r="B91" s="530" t="s">
        <v>1047</v>
      </c>
      <c r="C91" s="530" t="s">
        <v>45</v>
      </c>
      <c r="D91" s="530" t="s">
        <v>1119</v>
      </c>
      <c r="E91" s="530">
        <v>13961</v>
      </c>
      <c r="F91" s="530">
        <v>620</v>
      </c>
      <c r="G91" s="530">
        <v>620</v>
      </c>
      <c r="H91" s="530">
        <v>413</v>
      </c>
      <c r="I91" s="530">
        <v>42</v>
      </c>
      <c r="J91" s="530">
        <v>5</v>
      </c>
      <c r="K91" s="530">
        <v>124</v>
      </c>
      <c r="L91" s="530">
        <v>0</v>
      </c>
      <c r="M91" s="530">
        <v>66</v>
      </c>
      <c r="N91" s="531"/>
    </row>
    <row r="92" spans="1:14" ht="16">
      <c r="A92" s="530" t="s">
        <v>1046</v>
      </c>
      <c r="B92" s="530" t="s">
        <v>1047</v>
      </c>
      <c r="C92" s="530" t="s">
        <v>45</v>
      </c>
      <c r="D92" s="530" t="s">
        <v>1120</v>
      </c>
      <c r="E92" s="530">
        <v>13986</v>
      </c>
      <c r="F92" s="530">
        <v>744</v>
      </c>
      <c r="G92" s="530">
        <v>744</v>
      </c>
      <c r="H92" s="530">
        <v>453</v>
      </c>
      <c r="I92" s="530">
        <v>56</v>
      </c>
      <c r="J92" s="530">
        <v>9</v>
      </c>
      <c r="K92" s="530">
        <v>0</v>
      </c>
      <c r="L92" s="530">
        <v>0</v>
      </c>
      <c r="M92" s="530">
        <v>0</v>
      </c>
      <c r="N92" s="531"/>
    </row>
    <row r="93" spans="1:14" ht="16">
      <c r="A93" s="530" t="s">
        <v>1046</v>
      </c>
      <c r="B93" s="530" t="s">
        <v>1047</v>
      </c>
      <c r="C93" s="530" t="s">
        <v>45</v>
      </c>
      <c r="D93" s="530" t="s">
        <v>1121</v>
      </c>
      <c r="E93" s="530">
        <v>13986</v>
      </c>
      <c r="F93" s="530">
        <v>744</v>
      </c>
      <c r="G93" s="530">
        <v>744</v>
      </c>
      <c r="H93" s="530">
        <v>453</v>
      </c>
      <c r="I93" s="530">
        <v>56</v>
      </c>
      <c r="J93" s="530">
        <v>9</v>
      </c>
      <c r="K93" s="530">
        <v>0</v>
      </c>
      <c r="L93" s="530">
        <v>0</v>
      </c>
      <c r="M93" s="530">
        <v>0</v>
      </c>
      <c r="N93" s="531"/>
    </row>
    <row r="94" spans="1:14" ht="16">
      <c r="A94" s="530" t="s">
        <v>1046</v>
      </c>
      <c r="B94" s="530" t="s">
        <v>1047</v>
      </c>
      <c r="C94" s="530" t="s">
        <v>45</v>
      </c>
      <c r="D94" s="530" t="s">
        <v>1122</v>
      </c>
      <c r="E94" s="530">
        <v>14988</v>
      </c>
      <c r="F94" s="530">
        <v>744</v>
      </c>
      <c r="G94" s="530">
        <v>744</v>
      </c>
      <c r="H94" s="530">
        <v>478</v>
      </c>
      <c r="I94" s="530">
        <v>42</v>
      </c>
      <c r="J94" s="530">
        <v>22</v>
      </c>
      <c r="K94" s="530">
        <v>0</v>
      </c>
      <c r="L94" s="530">
        <v>0</v>
      </c>
      <c r="M94" s="530">
        <v>0</v>
      </c>
      <c r="N94" s="531"/>
    </row>
    <row r="95" spans="1:14" ht="16">
      <c r="A95" s="530" t="s">
        <v>1046</v>
      </c>
      <c r="B95" s="530" t="s">
        <v>1047</v>
      </c>
      <c r="C95" s="530" t="s">
        <v>45</v>
      </c>
      <c r="D95" s="530" t="s">
        <v>1123</v>
      </c>
      <c r="E95" s="530">
        <v>14988</v>
      </c>
      <c r="F95" s="530">
        <v>744</v>
      </c>
      <c r="G95" s="530">
        <v>744</v>
      </c>
      <c r="H95" s="530">
        <v>478</v>
      </c>
      <c r="I95" s="530">
        <v>42</v>
      </c>
      <c r="J95" s="530">
        <v>22</v>
      </c>
      <c r="K95" s="530">
        <v>0</v>
      </c>
      <c r="L95" s="530">
        <v>0</v>
      </c>
      <c r="M95" s="530">
        <v>0</v>
      </c>
      <c r="N95" s="531"/>
    </row>
    <row r="96" spans="1:14" ht="16">
      <c r="A96" s="530" t="s">
        <v>1046</v>
      </c>
      <c r="B96" s="530" t="s">
        <v>1047</v>
      </c>
      <c r="C96" s="530" t="s">
        <v>45</v>
      </c>
      <c r="D96" s="530" t="s">
        <v>1124</v>
      </c>
      <c r="E96" s="530">
        <v>14235</v>
      </c>
      <c r="F96" s="530">
        <v>744</v>
      </c>
      <c r="G96" s="530">
        <v>744</v>
      </c>
      <c r="H96" s="530">
        <v>498</v>
      </c>
      <c r="I96" s="530">
        <v>61</v>
      </c>
      <c r="J96" s="530">
        <v>27</v>
      </c>
      <c r="K96" s="530">
        <v>0</v>
      </c>
      <c r="L96" s="530">
        <v>0</v>
      </c>
      <c r="M96" s="530">
        <v>0</v>
      </c>
      <c r="N96" s="531"/>
    </row>
    <row r="97" spans="1:14" ht="16">
      <c r="A97" s="530" t="s">
        <v>1046</v>
      </c>
      <c r="B97" s="530" t="s">
        <v>1047</v>
      </c>
      <c r="C97" s="530" t="s">
        <v>45</v>
      </c>
      <c r="D97" s="530" t="s">
        <v>1125</v>
      </c>
      <c r="E97" s="530">
        <v>14235</v>
      </c>
      <c r="F97" s="530">
        <v>744</v>
      </c>
      <c r="G97" s="530">
        <v>744</v>
      </c>
      <c r="H97" s="530">
        <v>498</v>
      </c>
      <c r="I97" s="530">
        <v>61</v>
      </c>
      <c r="J97" s="530">
        <v>27</v>
      </c>
      <c r="K97" s="530">
        <v>0</v>
      </c>
      <c r="L97" s="530">
        <v>0</v>
      </c>
      <c r="M97" s="530">
        <v>0</v>
      </c>
      <c r="N97" s="531"/>
    </row>
    <row r="98" spans="1:14" ht="16">
      <c r="A98" s="530" t="s">
        <v>1046</v>
      </c>
      <c r="B98" s="530" t="s">
        <v>1047</v>
      </c>
      <c r="C98" s="530" t="s">
        <v>45</v>
      </c>
      <c r="D98" s="530" t="s">
        <v>1126</v>
      </c>
      <c r="E98" s="530">
        <v>13019</v>
      </c>
      <c r="F98" s="530">
        <v>744</v>
      </c>
      <c r="G98" s="530">
        <v>744</v>
      </c>
      <c r="H98" s="530">
        <v>456</v>
      </c>
      <c r="I98" s="530">
        <v>40</v>
      </c>
      <c r="J98" s="530">
        <v>14</v>
      </c>
      <c r="K98" s="530">
        <v>0</v>
      </c>
      <c r="L98" s="530">
        <v>0</v>
      </c>
      <c r="M98" s="530">
        <v>0</v>
      </c>
      <c r="N98" s="531"/>
    </row>
    <row r="99" spans="1:14" ht="16">
      <c r="A99" s="530" t="s">
        <v>1046</v>
      </c>
      <c r="B99" s="530" t="s">
        <v>1047</v>
      </c>
      <c r="C99" s="530" t="s">
        <v>45</v>
      </c>
      <c r="D99" s="530" t="s">
        <v>1127</v>
      </c>
      <c r="E99" s="530">
        <v>13019</v>
      </c>
      <c r="F99" s="530">
        <v>744</v>
      </c>
      <c r="G99" s="530">
        <v>744</v>
      </c>
      <c r="H99" s="530">
        <v>456</v>
      </c>
      <c r="I99" s="530">
        <v>40</v>
      </c>
      <c r="J99" s="530">
        <v>14</v>
      </c>
      <c r="K99" s="530">
        <v>0</v>
      </c>
      <c r="L99" s="530">
        <v>0</v>
      </c>
      <c r="M99" s="530">
        <v>0</v>
      </c>
      <c r="N99" s="531"/>
    </row>
    <row r="100" spans="1:14" ht="16">
      <c r="A100" s="530" t="s">
        <v>1046</v>
      </c>
      <c r="B100" s="530" t="s">
        <v>1047</v>
      </c>
      <c r="C100" s="530" t="s">
        <v>45</v>
      </c>
      <c r="D100" s="530" t="s">
        <v>1128</v>
      </c>
      <c r="E100" s="530">
        <v>15878</v>
      </c>
      <c r="F100" s="530">
        <v>744</v>
      </c>
      <c r="G100" s="530">
        <v>744</v>
      </c>
      <c r="H100" s="530">
        <v>498</v>
      </c>
      <c r="I100" s="530">
        <v>32</v>
      </c>
      <c r="J100" s="530">
        <v>19</v>
      </c>
      <c r="K100" s="530">
        <v>0</v>
      </c>
      <c r="L100" s="530">
        <v>0</v>
      </c>
      <c r="M100" s="530">
        <v>0</v>
      </c>
      <c r="N100" s="531"/>
    </row>
    <row r="101" spans="1:14" ht="16">
      <c r="A101" s="530" t="s">
        <v>1046</v>
      </c>
      <c r="B101" s="530" t="s">
        <v>1047</v>
      </c>
      <c r="C101" s="530" t="s">
        <v>45</v>
      </c>
      <c r="D101" s="530" t="s">
        <v>1129</v>
      </c>
      <c r="E101" s="530">
        <v>15878</v>
      </c>
      <c r="F101" s="530">
        <v>744</v>
      </c>
      <c r="G101" s="530">
        <v>744</v>
      </c>
      <c r="H101" s="530">
        <v>498</v>
      </c>
      <c r="I101" s="530">
        <v>32</v>
      </c>
      <c r="J101" s="530">
        <v>19</v>
      </c>
      <c r="K101" s="530">
        <v>0</v>
      </c>
      <c r="L101" s="530">
        <v>0</v>
      </c>
      <c r="M101" s="530">
        <v>0</v>
      </c>
      <c r="N101" s="531"/>
    </row>
    <row r="102" spans="1:14" ht="16">
      <c r="A102" s="530" t="s">
        <v>1046</v>
      </c>
      <c r="B102" s="530" t="s">
        <v>1047</v>
      </c>
      <c r="C102" s="530" t="s">
        <v>45</v>
      </c>
      <c r="D102" s="530" t="s">
        <v>1130</v>
      </c>
      <c r="E102" s="530">
        <v>11666</v>
      </c>
      <c r="F102" s="530">
        <v>744</v>
      </c>
      <c r="G102" s="530">
        <v>744</v>
      </c>
      <c r="H102" s="530">
        <v>549</v>
      </c>
      <c r="I102" s="530">
        <v>51</v>
      </c>
      <c r="J102" s="530">
        <v>17</v>
      </c>
      <c r="K102" s="530">
        <v>0</v>
      </c>
      <c r="L102" s="530">
        <v>0</v>
      </c>
      <c r="M102" s="530">
        <v>0</v>
      </c>
      <c r="N102" s="531"/>
    </row>
    <row r="103" spans="1:14" ht="16">
      <c r="A103" s="530" t="s">
        <v>1046</v>
      </c>
      <c r="B103" s="530" t="s">
        <v>1047</v>
      </c>
      <c r="C103" s="530" t="s">
        <v>45</v>
      </c>
      <c r="D103" s="530" t="s">
        <v>1131</v>
      </c>
      <c r="E103" s="530">
        <v>11666</v>
      </c>
      <c r="F103" s="530">
        <v>744</v>
      </c>
      <c r="G103" s="530">
        <v>744</v>
      </c>
      <c r="H103" s="530">
        <v>549</v>
      </c>
      <c r="I103" s="530">
        <v>51</v>
      </c>
      <c r="J103" s="530">
        <v>17</v>
      </c>
      <c r="K103" s="530">
        <v>0</v>
      </c>
      <c r="L103" s="530">
        <v>0</v>
      </c>
      <c r="M103" s="530">
        <v>0</v>
      </c>
      <c r="N103" s="531"/>
    </row>
    <row r="104" spans="1:14" ht="16">
      <c r="A104" s="530" t="s">
        <v>1046</v>
      </c>
      <c r="B104" s="530" t="s">
        <v>1047</v>
      </c>
      <c r="C104" s="530" t="s">
        <v>45</v>
      </c>
      <c r="D104" s="530" t="s">
        <v>1132</v>
      </c>
      <c r="E104" s="530">
        <v>14132</v>
      </c>
      <c r="F104" s="530">
        <v>710</v>
      </c>
      <c r="G104" s="530">
        <v>710</v>
      </c>
      <c r="H104" s="530">
        <v>473</v>
      </c>
      <c r="I104" s="530">
        <v>33</v>
      </c>
      <c r="J104" s="530">
        <v>10</v>
      </c>
      <c r="K104" s="530">
        <v>34</v>
      </c>
      <c r="L104" s="530">
        <v>34</v>
      </c>
      <c r="M104" s="530">
        <v>0</v>
      </c>
      <c r="N104" s="531"/>
    </row>
    <row r="105" spans="1:14" ht="16">
      <c r="A105" s="530" t="s">
        <v>1046</v>
      </c>
      <c r="B105" s="530" t="s">
        <v>1047</v>
      </c>
      <c r="C105" s="530" t="s">
        <v>45</v>
      </c>
      <c r="D105" s="530" t="s">
        <v>1133</v>
      </c>
      <c r="E105" s="530">
        <v>14132</v>
      </c>
      <c r="F105" s="530">
        <v>710</v>
      </c>
      <c r="G105" s="530">
        <v>710</v>
      </c>
      <c r="H105" s="530">
        <v>473</v>
      </c>
      <c r="I105" s="530">
        <v>33</v>
      </c>
      <c r="J105" s="530">
        <v>10</v>
      </c>
      <c r="K105" s="530">
        <v>34</v>
      </c>
      <c r="L105" s="530">
        <v>34</v>
      </c>
      <c r="M105" s="530">
        <v>0</v>
      </c>
      <c r="N105" s="531"/>
    </row>
    <row r="106" spans="1:14" ht="16">
      <c r="A106" s="530" t="s">
        <v>1046</v>
      </c>
      <c r="B106" s="530" t="s">
        <v>1047</v>
      </c>
      <c r="C106" s="530" t="s">
        <v>45</v>
      </c>
      <c r="D106" s="530" t="s">
        <v>1134</v>
      </c>
      <c r="E106" s="530">
        <v>13614</v>
      </c>
      <c r="F106" s="530">
        <v>700</v>
      </c>
      <c r="G106" s="530">
        <v>700</v>
      </c>
      <c r="H106" s="530">
        <v>440</v>
      </c>
      <c r="I106" s="530">
        <v>108</v>
      </c>
      <c r="J106" s="530">
        <v>13</v>
      </c>
      <c r="K106" s="530">
        <v>44</v>
      </c>
      <c r="L106" s="530">
        <v>0</v>
      </c>
      <c r="M106" s="530">
        <v>29</v>
      </c>
      <c r="N106" s="531"/>
    </row>
    <row r="107" spans="1:14" ht="16">
      <c r="A107" s="530" t="s">
        <v>1046</v>
      </c>
      <c r="B107" s="530" t="s">
        <v>1047</v>
      </c>
      <c r="C107" s="530" t="s">
        <v>45</v>
      </c>
      <c r="D107" s="530" t="s">
        <v>1135</v>
      </c>
      <c r="E107" s="530">
        <v>13614</v>
      </c>
      <c r="F107" s="530">
        <v>700</v>
      </c>
      <c r="G107" s="530">
        <v>700</v>
      </c>
      <c r="H107" s="530">
        <v>440</v>
      </c>
      <c r="I107" s="530">
        <v>108</v>
      </c>
      <c r="J107" s="530">
        <v>13</v>
      </c>
      <c r="K107" s="530">
        <v>44</v>
      </c>
      <c r="L107" s="530">
        <v>0</v>
      </c>
      <c r="M107" s="530">
        <v>29</v>
      </c>
      <c r="N107" s="531"/>
    </row>
    <row r="108" spans="1:14" ht="16">
      <c r="A108" s="530" t="s">
        <v>1046</v>
      </c>
      <c r="B108" s="530" t="s">
        <v>1047</v>
      </c>
      <c r="C108" s="530" t="s">
        <v>45</v>
      </c>
      <c r="D108" s="530" t="s">
        <v>1136</v>
      </c>
      <c r="E108" s="530">
        <v>12877</v>
      </c>
      <c r="F108" s="530">
        <v>668</v>
      </c>
      <c r="G108" s="530">
        <v>668</v>
      </c>
      <c r="H108" s="530">
        <v>408</v>
      </c>
      <c r="I108" s="530">
        <v>71</v>
      </c>
      <c r="J108" s="530">
        <v>15</v>
      </c>
      <c r="K108" s="530">
        <v>76</v>
      </c>
      <c r="L108" s="530">
        <v>68</v>
      </c>
      <c r="M108" s="530">
        <v>8</v>
      </c>
      <c r="N108" s="531"/>
    </row>
    <row r="109" spans="1:14" ht="16">
      <c r="A109" s="530" t="s">
        <v>1046</v>
      </c>
      <c r="B109" s="530" t="s">
        <v>1047</v>
      </c>
      <c r="C109" s="530" t="s">
        <v>45</v>
      </c>
      <c r="D109" s="530" t="s">
        <v>1137</v>
      </c>
      <c r="E109" s="530">
        <v>12877</v>
      </c>
      <c r="F109" s="530">
        <v>668</v>
      </c>
      <c r="G109" s="530">
        <v>668</v>
      </c>
      <c r="H109" s="530">
        <v>408</v>
      </c>
      <c r="I109" s="530">
        <v>71</v>
      </c>
      <c r="J109" s="530">
        <v>15</v>
      </c>
      <c r="K109" s="530">
        <v>76</v>
      </c>
      <c r="L109" s="530">
        <v>68</v>
      </c>
      <c r="M109" s="530">
        <v>8</v>
      </c>
      <c r="N109" s="531"/>
    </row>
    <row r="110" spans="1:14" ht="16">
      <c r="A110" s="530" t="s">
        <v>1046</v>
      </c>
      <c r="B110" s="530" t="s">
        <v>1047</v>
      </c>
      <c r="C110" s="530" t="s">
        <v>45</v>
      </c>
      <c r="D110" s="530" t="s">
        <v>1138</v>
      </c>
      <c r="E110" s="530">
        <v>13507</v>
      </c>
      <c r="F110" s="530">
        <v>743</v>
      </c>
      <c r="G110" s="530">
        <v>743</v>
      </c>
      <c r="H110" s="530">
        <v>407</v>
      </c>
      <c r="I110" s="530">
        <v>53</v>
      </c>
      <c r="J110" s="530">
        <v>11</v>
      </c>
      <c r="K110" s="530">
        <v>1</v>
      </c>
      <c r="L110" s="530">
        <v>1</v>
      </c>
      <c r="M110" s="530">
        <v>0</v>
      </c>
      <c r="N110" s="531"/>
    </row>
    <row r="111" spans="1:14" ht="16">
      <c r="A111" s="530" t="s">
        <v>1046</v>
      </c>
      <c r="B111" s="530" t="s">
        <v>1047</v>
      </c>
      <c r="C111" s="530" t="s">
        <v>45</v>
      </c>
      <c r="D111" s="530" t="s">
        <v>1139</v>
      </c>
      <c r="E111" s="530">
        <v>13507</v>
      </c>
      <c r="F111" s="530">
        <v>743</v>
      </c>
      <c r="G111" s="530">
        <v>743</v>
      </c>
      <c r="H111" s="530">
        <v>407</v>
      </c>
      <c r="I111" s="530">
        <v>53</v>
      </c>
      <c r="J111" s="530">
        <v>11</v>
      </c>
      <c r="K111" s="530">
        <v>1</v>
      </c>
      <c r="L111" s="530">
        <v>1</v>
      </c>
      <c r="M111" s="530">
        <v>0</v>
      </c>
      <c r="N111" s="531"/>
    </row>
    <row r="112" spans="1:14" ht="16">
      <c r="A112" s="530" t="s">
        <v>1046</v>
      </c>
      <c r="B112" s="530" t="s">
        <v>1047</v>
      </c>
      <c r="C112" s="530" t="s">
        <v>45</v>
      </c>
      <c r="D112" s="530" t="s">
        <v>1140</v>
      </c>
      <c r="E112" s="530">
        <v>14842</v>
      </c>
      <c r="F112" s="530">
        <v>744</v>
      </c>
      <c r="G112" s="530">
        <v>744</v>
      </c>
      <c r="H112" s="530">
        <v>506</v>
      </c>
      <c r="I112" s="530">
        <v>66</v>
      </c>
      <c r="J112" s="530">
        <v>14</v>
      </c>
      <c r="K112" s="530">
        <v>0</v>
      </c>
      <c r="L112" s="530">
        <v>0</v>
      </c>
      <c r="M112" s="530">
        <v>0</v>
      </c>
      <c r="N112" s="531"/>
    </row>
    <row r="113" spans="1:14" ht="16">
      <c r="A113" s="530" t="s">
        <v>1046</v>
      </c>
      <c r="B113" s="530" t="s">
        <v>1047</v>
      </c>
      <c r="C113" s="530" t="s">
        <v>45</v>
      </c>
      <c r="D113" s="530" t="s">
        <v>1141</v>
      </c>
      <c r="E113" s="530">
        <v>14842</v>
      </c>
      <c r="F113" s="530">
        <v>744</v>
      </c>
      <c r="G113" s="530">
        <v>744</v>
      </c>
      <c r="H113" s="530">
        <v>506</v>
      </c>
      <c r="I113" s="530">
        <v>66</v>
      </c>
      <c r="J113" s="530">
        <v>14</v>
      </c>
      <c r="K113" s="530">
        <v>0</v>
      </c>
      <c r="L113" s="530">
        <v>0</v>
      </c>
      <c r="M113" s="530">
        <v>0</v>
      </c>
      <c r="N113" s="531"/>
    </row>
    <row r="114" spans="1:14" ht="16">
      <c r="A114" s="530" t="s">
        <v>1046</v>
      </c>
      <c r="B114" s="530" t="s">
        <v>1047</v>
      </c>
      <c r="C114" s="530" t="s">
        <v>45</v>
      </c>
      <c r="D114" s="530" t="s">
        <v>1142</v>
      </c>
      <c r="E114" s="530">
        <v>14620</v>
      </c>
      <c r="F114" s="530">
        <v>740</v>
      </c>
      <c r="G114" s="530">
        <v>740</v>
      </c>
      <c r="H114" s="530">
        <v>497</v>
      </c>
      <c r="I114" s="530">
        <v>65</v>
      </c>
      <c r="J114" s="530">
        <v>22</v>
      </c>
      <c r="K114" s="530">
        <v>5</v>
      </c>
      <c r="L114" s="530">
        <v>0</v>
      </c>
      <c r="M114" s="530">
        <v>5</v>
      </c>
      <c r="N114" s="531"/>
    </row>
    <row r="115" spans="1:14" ht="16">
      <c r="A115" s="530" t="s">
        <v>1046</v>
      </c>
      <c r="B115" s="530" t="s">
        <v>1047</v>
      </c>
      <c r="C115" s="530" t="s">
        <v>45</v>
      </c>
      <c r="D115" s="530" t="s">
        <v>1143</v>
      </c>
      <c r="E115" s="530">
        <v>14620</v>
      </c>
      <c r="F115" s="530">
        <v>740</v>
      </c>
      <c r="G115" s="530">
        <v>740</v>
      </c>
      <c r="H115" s="530">
        <v>497</v>
      </c>
      <c r="I115" s="530">
        <v>65</v>
      </c>
      <c r="J115" s="530">
        <v>22</v>
      </c>
      <c r="K115" s="530">
        <v>5</v>
      </c>
      <c r="L115" s="530">
        <v>0</v>
      </c>
      <c r="M115" s="530">
        <v>5</v>
      </c>
      <c r="N115" s="531"/>
    </row>
    <row r="116" spans="1:14" ht="16">
      <c r="A116" s="530" t="s">
        <v>1046</v>
      </c>
      <c r="B116" s="530" t="s">
        <v>1047</v>
      </c>
      <c r="C116" s="530" t="s">
        <v>45</v>
      </c>
      <c r="D116" s="530" t="s">
        <v>1144</v>
      </c>
      <c r="E116" s="530">
        <v>12196</v>
      </c>
      <c r="F116" s="530">
        <v>562</v>
      </c>
      <c r="G116" s="530">
        <v>562</v>
      </c>
      <c r="H116" s="530">
        <v>361</v>
      </c>
      <c r="I116" s="530">
        <v>84</v>
      </c>
      <c r="J116" s="530">
        <v>12</v>
      </c>
      <c r="K116" s="530">
        <v>182</v>
      </c>
      <c r="L116" s="530">
        <v>66</v>
      </c>
      <c r="M116" s="530">
        <v>71</v>
      </c>
      <c r="N116" s="531"/>
    </row>
    <row r="117" spans="1:14" ht="16">
      <c r="A117" s="530" t="s">
        <v>1046</v>
      </c>
      <c r="B117" s="530" t="s">
        <v>1047</v>
      </c>
      <c r="C117" s="530" t="s">
        <v>45</v>
      </c>
      <c r="D117" s="530" t="s">
        <v>1145</v>
      </c>
      <c r="E117" s="530">
        <v>12196</v>
      </c>
      <c r="F117" s="530">
        <v>562</v>
      </c>
      <c r="G117" s="530">
        <v>562</v>
      </c>
      <c r="H117" s="530">
        <v>361</v>
      </c>
      <c r="I117" s="530">
        <v>84</v>
      </c>
      <c r="J117" s="530">
        <v>12</v>
      </c>
      <c r="K117" s="530">
        <v>182</v>
      </c>
      <c r="L117" s="530">
        <v>66</v>
      </c>
      <c r="M117" s="530">
        <v>71</v>
      </c>
      <c r="N117" s="531"/>
    </row>
    <row r="118" spans="1:14" ht="16">
      <c r="A118" s="530" t="s">
        <v>1046</v>
      </c>
      <c r="B118" s="530" t="s">
        <v>1047</v>
      </c>
      <c r="C118" s="530" t="s">
        <v>45</v>
      </c>
      <c r="D118" s="530" t="s">
        <v>1146</v>
      </c>
      <c r="E118" s="530">
        <v>13367</v>
      </c>
      <c r="F118" s="530">
        <v>720</v>
      </c>
      <c r="G118" s="530">
        <v>720</v>
      </c>
      <c r="H118" s="530">
        <v>450</v>
      </c>
      <c r="I118" s="530">
        <v>38</v>
      </c>
      <c r="J118" s="530">
        <v>10</v>
      </c>
      <c r="K118" s="530">
        <v>24</v>
      </c>
      <c r="L118" s="530">
        <v>21</v>
      </c>
      <c r="M118" s="530">
        <v>3</v>
      </c>
      <c r="N118" s="531"/>
    </row>
    <row r="119" spans="1:14" ht="16">
      <c r="A119" s="530" t="s">
        <v>1046</v>
      </c>
      <c r="B119" s="530" t="s">
        <v>1047</v>
      </c>
      <c r="C119" s="530" t="s">
        <v>45</v>
      </c>
      <c r="D119" s="530" t="s">
        <v>1147</v>
      </c>
      <c r="E119" s="530">
        <v>13367</v>
      </c>
      <c r="F119" s="530">
        <v>720</v>
      </c>
      <c r="G119" s="530">
        <v>720</v>
      </c>
      <c r="H119" s="530">
        <v>450</v>
      </c>
      <c r="I119" s="530">
        <v>38</v>
      </c>
      <c r="J119" s="530">
        <v>10</v>
      </c>
      <c r="K119" s="530">
        <v>24</v>
      </c>
      <c r="L119" s="530">
        <v>21</v>
      </c>
      <c r="M119" s="530">
        <v>3</v>
      </c>
      <c r="N119" s="531"/>
    </row>
    <row r="120" spans="1:14" ht="16">
      <c r="A120" s="530" t="s">
        <v>1046</v>
      </c>
      <c r="B120" s="530" t="s">
        <v>1047</v>
      </c>
      <c r="C120" s="530" t="s">
        <v>45</v>
      </c>
      <c r="D120" s="530" t="s">
        <v>1148</v>
      </c>
      <c r="E120" s="530">
        <v>12605</v>
      </c>
      <c r="F120" s="530">
        <v>664</v>
      </c>
      <c r="G120" s="530">
        <v>664</v>
      </c>
      <c r="H120" s="530">
        <v>452</v>
      </c>
      <c r="I120" s="530">
        <v>39</v>
      </c>
      <c r="J120" s="530">
        <v>15</v>
      </c>
      <c r="K120" s="530">
        <v>80</v>
      </c>
      <c r="L120" s="530">
        <v>0</v>
      </c>
      <c r="M120" s="530">
        <v>67</v>
      </c>
      <c r="N120" s="531"/>
    </row>
    <row r="121" spans="1:14" ht="16">
      <c r="A121" s="530" t="s">
        <v>1046</v>
      </c>
      <c r="B121" s="530" t="s">
        <v>1047</v>
      </c>
      <c r="C121" s="530" t="s">
        <v>45</v>
      </c>
      <c r="D121" s="530" t="s">
        <v>1149</v>
      </c>
      <c r="E121" s="530">
        <v>12605</v>
      </c>
      <c r="F121" s="530">
        <v>664</v>
      </c>
      <c r="G121" s="530">
        <v>664</v>
      </c>
      <c r="H121" s="530">
        <v>452</v>
      </c>
      <c r="I121" s="530">
        <v>39</v>
      </c>
      <c r="J121" s="530">
        <v>15</v>
      </c>
      <c r="K121" s="530">
        <v>80</v>
      </c>
      <c r="L121" s="530">
        <v>0</v>
      </c>
      <c r="M121" s="530">
        <v>67</v>
      </c>
      <c r="N121" s="531"/>
    </row>
    <row r="122" spans="1:14" ht="16">
      <c r="A122" s="530" t="s">
        <v>1046</v>
      </c>
      <c r="B122" s="530" t="s">
        <v>1047</v>
      </c>
      <c r="C122" s="530" t="s">
        <v>45</v>
      </c>
      <c r="D122" s="530" t="s">
        <v>1150</v>
      </c>
      <c r="E122" s="530">
        <v>10844</v>
      </c>
      <c r="F122" s="530">
        <v>640</v>
      </c>
      <c r="G122" s="530">
        <v>640</v>
      </c>
      <c r="H122" s="530">
        <v>369</v>
      </c>
      <c r="I122" s="530">
        <v>18</v>
      </c>
      <c r="J122" s="530">
        <v>13</v>
      </c>
      <c r="K122" s="530">
        <v>104</v>
      </c>
      <c r="L122" s="530">
        <v>62</v>
      </c>
      <c r="M122" s="530">
        <v>0</v>
      </c>
      <c r="N122" s="531"/>
    </row>
    <row r="123" spans="1:14" ht="16">
      <c r="A123" s="530" t="s">
        <v>1046</v>
      </c>
      <c r="B123" s="530" t="s">
        <v>1047</v>
      </c>
      <c r="C123" s="530" t="s">
        <v>45</v>
      </c>
      <c r="D123" s="530" t="s">
        <v>1151</v>
      </c>
      <c r="E123" s="530">
        <v>10844</v>
      </c>
      <c r="F123" s="530">
        <v>640</v>
      </c>
      <c r="G123" s="530">
        <v>640</v>
      </c>
      <c r="H123" s="530">
        <v>369</v>
      </c>
      <c r="I123" s="530">
        <v>18</v>
      </c>
      <c r="J123" s="530">
        <v>13</v>
      </c>
      <c r="K123" s="530">
        <v>104</v>
      </c>
      <c r="L123" s="530">
        <v>62</v>
      </c>
      <c r="M123" s="530">
        <v>0</v>
      </c>
      <c r="N123" s="531"/>
    </row>
    <row r="124" spans="1:14" ht="16">
      <c r="A124" s="530" t="s">
        <v>1046</v>
      </c>
      <c r="B124" s="530" t="s">
        <v>1047</v>
      </c>
      <c r="C124" s="530" t="s">
        <v>45</v>
      </c>
      <c r="D124" s="530" t="s">
        <v>1152</v>
      </c>
      <c r="E124" s="530">
        <v>11328</v>
      </c>
      <c r="F124" s="530">
        <v>655</v>
      </c>
      <c r="G124" s="530">
        <v>655</v>
      </c>
      <c r="H124" s="530">
        <v>360</v>
      </c>
      <c r="I124" s="530">
        <v>46</v>
      </c>
      <c r="J124" s="530">
        <v>25</v>
      </c>
      <c r="K124" s="530">
        <v>89</v>
      </c>
      <c r="L124" s="530">
        <v>0</v>
      </c>
      <c r="M124" s="530">
        <v>0</v>
      </c>
      <c r="N124" s="531"/>
    </row>
    <row r="125" spans="1:14" ht="16">
      <c r="A125" s="530" t="s">
        <v>1046</v>
      </c>
      <c r="B125" s="530" t="s">
        <v>1047</v>
      </c>
      <c r="C125" s="530" t="s">
        <v>45</v>
      </c>
      <c r="D125" s="530" t="s">
        <v>1153</v>
      </c>
      <c r="E125" s="530">
        <v>11328</v>
      </c>
      <c r="F125" s="530">
        <v>655</v>
      </c>
      <c r="G125" s="530">
        <v>655</v>
      </c>
      <c r="H125" s="530">
        <v>360</v>
      </c>
      <c r="I125" s="530">
        <v>46</v>
      </c>
      <c r="J125" s="530">
        <v>25</v>
      </c>
      <c r="K125" s="530">
        <v>89</v>
      </c>
      <c r="L125" s="530">
        <v>0</v>
      </c>
      <c r="M125" s="530">
        <v>0</v>
      </c>
      <c r="N125" s="531"/>
    </row>
    <row r="126" spans="1:14" ht="16">
      <c r="A126" s="530" t="s">
        <v>1046</v>
      </c>
      <c r="B126" s="530" t="s">
        <v>1047</v>
      </c>
      <c r="C126" s="530" t="s">
        <v>45</v>
      </c>
      <c r="D126" s="530" t="s">
        <v>1154</v>
      </c>
      <c r="E126" s="530">
        <v>13858</v>
      </c>
      <c r="F126" s="530">
        <v>744</v>
      </c>
      <c r="G126" s="530">
        <v>744</v>
      </c>
      <c r="H126" s="530">
        <v>505</v>
      </c>
      <c r="I126" s="530">
        <v>41</v>
      </c>
      <c r="J126" s="530">
        <v>9</v>
      </c>
      <c r="K126" s="530">
        <v>0</v>
      </c>
      <c r="L126" s="530">
        <v>0</v>
      </c>
      <c r="M126" s="530">
        <v>0</v>
      </c>
      <c r="N126" s="531"/>
    </row>
    <row r="127" spans="1:14" ht="16">
      <c r="A127" s="530" t="s">
        <v>1046</v>
      </c>
      <c r="B127" s="530" t="s">
        <v>1047</v>
      </c>
      <c r="C127" s="530" t="s">
        <v>45</v>
      </c>
      <c r="D127" s="530" t="s">
        <v>1155</v>
      </c>
      <c r="E127" s="530">
        <v>13858</v>
      </c>
      <c r="F127" s="530">
        <v>744</v>
      </c>
      <c r="G127" s="530">
        <v>744</v>
      </c>
      <c r="H127" s="530">
        <v>505</v>
      </c>
      <c r="I127" s="530">
        <v>41</v>
      </c>
      <c r="J127" s="530">
        <v>9</v>
      </c>
      <c r="K127" s="530">
        <v>0</v>
      </c>
      <c r="L127" s="530">
        <v>0</v>
      </c>
      <c r="M127" s="530">
        <v>0</v>
      </c>
      <c r="N127" s="531"/>
    </row>
    <row r="128" spans="1:14" ht="16">
      <c r="A128" s="530" t="s">
        <v>1046</v>
      </c>
      <c r="B128" s="530" t="s">
        <v>1047</v>
      </c>
      <c r="C128" s="530" t="s">
        <v>45</v>
      </c>
      <c r="D128" s="530" t="s">
        <v>1156</v>
      </c>
      <c r="E128" s="530">
        <v>13554</v>
      </c>
      <c r="F128" s="530">
        <v>744</v>
      </c>
      <c r="G128" s="530">
        <v>744</v>
      </c>
      <c r="H128" s="530">
        <v>416</v>
      </c>
      <c r="I128" s="530">
        <v>53</v>
      </c>
      <c r="J128" s="530">
        <v>68</v>
      </c>
      <c r="K128" s="530">
        <v>0</v>
      </c>
      <c r="L128" s="530">
        <v>0</v>
      </c>
      <c r="M128" s="530">
        <v>0</v>
      </c>
      <c r="N128" s="531"/>
    </row>
    <row r="129" spans="1:14" ht="16">
      <c r="A129" s="530" t="s">
        <v>1046</v>
      </c>
      <c r="B129" s="530" t="s">
        <v>1047</v>
      </c>
      <c r="C129" s="530" t="s">
        <v>45</v>
      </c>
      <c r="D129" s="530" t="s">
        <v>1157</v>
      </c>
      <c r="E129" s="530">
        <v>13554</v>
      </c>
      <c r="F129" s="530">
        <v>744</v>
      </c>
      <c r="G129" s="530">
        <v>744</v>
      </c>
      <c r="H129" s="530">
        <v>416</v>
      </c>
      <c r="I129" s="530">
        <v>53</v>
      </c>
      <c r="J129" s="530">
        <v>68</v>
      </c>
      <c r="K129" s="530">
        <v>0</v>
      </c>
      <c r="L129" s="530">
        <v>0</v>
      </c>
      <c r="M129" s="530">
        <v>0</v>
      </c>
      <c r="N129" s="531"/>
    </row>
    <row r="130" spans="1:14" ht="16">
      <c r="A130" s="530" t="s">
        <v>1046</v>
      </c>
      <c r="B130" s="530" t="s">
        <v>1047</v>
      </c>
      <c r="C130" s="530" t="s">
        <v>45</v>
      </c>
      <c r="D130" s="530" t="s">
        <v>1158</v>
      </c>
      <c r="E130" s="530">
        <v>13233</v>
      </c>
      <c r="F130" s="530">
        <v>744</v>
      </c>
      <c r="G130" s="530">
        <v>744</v>
      </c>
      <c r="H130" s="530">
        <v>470</v>
      </c>
      <c r="I130" s="530">
        <v>61</v>
      </c>
      <c r="J130" s="530">
        <v>7</v>
      </c>
      <c r="K130" s="530">
        <v>0</v>
      </c>
      <c r="L130" s="530">
        <v>0</v>
      </c>
      <c r="M130" s="530">
        <v>0</v>
      </c>
      <c r="N130" s="531"/>
    </row>
    <row r="131" spans="1:14" ht="16">
      <c r="A131" s="530" t="s">
        <v>1046</v>
      </c>
      <c r="B131" s="530" t="s">
        <v>1047</v>
      </c>
      <c r="C131" s="530" t="s">
        <v>45</v>
      </c>
      <c r="D131" s="530" t="s">
        <v>1159</v>
      </c>
      <c r="E131" s="530">
        <v>13233</v>
      </c>
      <c r="F131" s="530">
        <v>744</v>
      </c>
      <c r="G131" s="530">
        <v>744</v>
      </c>
      <c r="H131" s="530">
        <v>470</v>
      </c>
      <c r="I131" s="530">
        <v>61</v>
      </c>
      <c r="J131" s="530">
        <v>7</v>
      </c>
      <c r="K131" s="530">
        <v>0</v>
      </c>
      <c r="L131" s="530">
        <v>0</v>
      </c>
      <c r="M131" s="530">
        <v>0</v>
      </c>
      <c r="N131" s="531"/>
    </row>
    <row r="132" spans="1:14" ht="16">
      <c r="A132" s="530" t="s">
        <v>1046</v>
      </c>
      <c r="B132" s="530" t="s">
        <v>1047</v>
      </c>
      <c r="C132" s="530" t="s">
        <v>45</v>
      </c>
      <c r="D132" s="530" t="s">
        <v>1160</v>
      </c>
      <c r="E132" s="530">
        <v>15613</v>
      </c>
      <c r="F132" s="530">
        <v>716</v>
      </c>
      <c r="G132" s="530">
        <v>716</v>
      </c>
      <c r="H132" s="530">
        <v>444</v>
      </c>
      <c r="I132" s="530">
        <v>42</v>
      </c>
      <c r="J132" s="530">
        <v>12</v>
      </c>
      <c r="K132" s="530">
        <v>28</v>
      </c>
      <c r="L132" s="530">
        <v>0</v>
      </c>
      <c r="M132" s="530">
        <v>1</v>
      </c>
      <c r="N132" s="531"/>
    </row>
    <row r="133" spans="1:14" ht="16">
      <c r="A133" s="530" t="s">
        <v>1046</v>
      </c>
      <c r="B133" s="530" t="s">
        <v>1047</v>
      </c>
      <c r="C133" s="530" t="s">
        <v>45</v>
      </c>
      <c r="D133" s="530" t="s">
        <v>1161</v>
      </c>
      <c r="E133" s="530">
        <v>15613</v>
      </c>
      <c r="F133" s="530">
        <v>716</v>
      </c>
      <c r="G133" s="530">
        <v>716</v>
      </c>
      <c r="H133" s="530">
        <v>444</v>
      </c>
      <c r="I133" s="530">
        <v>42</v>
      </c>
      <c r="J133" s="530">
        <v>12</v>
      </c>
      <c r="K133" s="530">
        <v>28</v>
      </c>
      <c r="L133" s="530">
        <v>0</v>
      </c>
      <c r="M133" s="530">
        <v>1</v>
      </c>
      <c r="N133" s="531"/>
    </row>
    <row r="134" spans="1:14" ht="16">
      <c r="A134" s="530" t="s">
        <v>1046</v>
      </c>
      <c r="B134" s="530" t="s">
        <v>1047</v>
      </c>
      <c r="C134" s="530" t="s">
        <v>45</v>
      </c>
      <c r="D134" s="530" t="s">
        <v>1162</v>
      </c>
      <c r="E134" s="530">
        <v>14953</v>
      </c>
      <c r="F134" s="530">
        <v>744</v>
      </c>
      <c r="G134" s="530">
        <v>744</v>
      </c>
      <c r="H134" s="530">
        <v>495</v>
      </c>
      <c r="I134" s="530">
        <v>79</v>
      </c>
      <c r="J134" s="530">
        <v>13</v>
      </c>
      <c r="K134" s="530">
        <v>0</v>
      </c>
      <c r="L134" s="530">
        <v>0</v>
      </c>
      <c r="M134" s="530">
        <v>0</v>
      </c>
      <c r="N134" s="531"/>
    </row>
    <row r="135" spans="1:14" ht="16">
      <c r="A135" s="530" t="s">
        <v>1046</v>
      </c>
      <c r="B135" s="530" t="s">
        <v>1047</v>
      </c>
      <c r="C135" s="530" t="s">
        <v>45</v>
      </c>
      <c r="D135" s="530" t="s">
        <v>1163</v>
      </c>
      <c r="E135" s="530">
        <v>14953</v>
      </c>
      <c r="F135" s="530">
        <v>744</v>
      </c>
      <c r="G135" s="530">
        <v>744</v>
      </c>
      <c r="H135" s="530">
        <v>495</v>
      </c>
      <c r="I135" s="530">
        <v>79</v>
      </c>
      <c r="J135" s="530">
        <v>13</v>
      </c>
      <c r="K135" s="530">
        <v>0</v>
      </c>
      <c r="L135" s="530">
        <v>0</v>
      </c>
      <c r="M135" s="530">
        <v>0</v>
      </c>
      <c r="N135" s="531"/>
    </row>
    <row r="136" spans="1:14" ht="16">
      <c r="A136" s="530" t="s">
        <v>1046</v>
      </c>
      <c r="B136" s="530" t="s">
        <v>1047</v>
      </c>
      <c r="C136" s="530" t="s">
        <v>45</v>
      </c>
      <c r="D136" s="530" t="s">
        <v>1164</v>
      </c>
      <c r="E136" s="530">
        <v>13598</v>
      </c>
      <c r="F136" s="530">
        <v>744</v>
      </c>
      <c r="G136" s="530">
        <v>744</v>
      </c>
      <c r="H136" s="530">
        <v>535</v>
      </c>
      <c r="I136" s="530">
        <v>39</v>
      </c>
      <c r="J136" s="530">
        <v>13</v>
      </c>
      <c r="K136" s="530">
        <v>0</v>
      </c>
      <c r="L136" s="530">
        <v>0</v>
      </c>
      <c r="M136" s="530">
        <v>0</v>
      </c>
      <c r="N136" s="531"/>
    </row>
    <row r="137" spans="1:14" ht="16">
      <c r="A137" s="530" t="s">
        <v>1046</v>
      </c>
      <c r="B137" s="530" t="s">
        <v>1047</v>
      </c>
      <c r="C137" s="530" t="s">
        <v>45</v>
      </c>
      <c r="D137" s="530" t="s">
        <v>1165</v>
      </c>
      <c r="E137" s="530">
        <v>13598</v>
      </c>
      <c r="F137" s="530">
        <v>744</v>
      </c>
      <c r="G137" s="530">
        <v>744</v>
      </c>
      <c r="H137" s="530">
        <v>535</v>
      </c>
      <c r="I137" s="530">
        <v>39</v>
      </c>
      <c r="J137" s="530">
        <v>13</v>
      </c>
      <c r="K137" s="530">
        <v>0</v>
      </c>
      <c r="L137" s="530">
        <v>0</v>
      </c>
      <c r="M137" s="530">
        <v>0</v>
      </c>
      <c r="N137" s="531"/>
    </row>
    <row r="138" spans="1:14" ht="16">
      <c r="A138" s="530" t="s">
        <v>1046</v>
      </c>
      <c r="B138" s="530" t="s">
        <v>1047</v>
      </c>
      <c r="C138" s="530" t="s">
        <v>45</v>
      </c>
      <c r="D138" s="530" t="s">
        <v>1166</v>
      </c>
      <c r="E138" s="530">
        <v>10585</v>
      </c>
      <c r="F138" s="530">
        <v>742</v>
      </c>
      <c r="G138" s="530">
        <v>742</v>
      </c>
      <c r="H138" s="530">
        <v>452</v>
      </c>
      <c r="I138" s="530">
        <v>36</v>
      </c>
      <c r="J138" s="530">
        <v>7</v>
      </c>
      <c r="K138" s="530">
        <v>2</v>
      </c>
      <c r="L138" s="530">
        <v>0</v>
      </c>
      <c r="M138" s="530">
        <v>0</v>
      </c>
      <c r="N138" s="531"/>
    </row>
    <row r="139" spans="1:14" ht="16">
      <c r="A139" s="530" t="s">
        <v>1046</v>
      </c>
      <c r="B139" s="530" t="s">
        <v>1047</v>
      </c>
      <c r="C139" s="530" t="s">
        <v>45</v>
      </c>
      <c r="D139" s="530" t="s">
        <v>1167</v>
      </c>
      <c r="E139" s="530">
        <v>10585</v>
      </c>
      <c r="F139" s="530">
        <v>742</v>
      </c>
      <c r="G139" s="530">
        <v>742</v>
      </c>
      <c r="H139" s="530">
        <v>452</v>
      </c>
      <c r="I139" s="530">
        <v>36</v>
      </c>
      <c r="J139" s="530">
        <v>7</v>
      </c>
      <c r="K139" s="530">
        <v>2</v>
      </c>
      <c r="L139" s="530">
        <v>0</v>
      </c>
      <c r="M139" s="530">
        <v>0</v>
      </c>
      <c r="N139" s="531"/>
    </row>
    <row r="140" spans="1:14" ht="16">
      <c r="A140" s="530" t="s">
        <v>1046</v>
      </c>
      <c r="B140" s="530" t="s">
        <v>1047</v>
      </c>
      <c r="C140" s="530" t="s">
        <v>45</v>
      </c>
      <c r="D140" s="530" t="s">
        <v>1168</v>
      </c>
      <c r="E140" s="530">
        <v>12836</v>
      </c>
      <c r="F140" s="530">
        <v>722</v>
      </c>
      <c r="G140" s="530">
        <v>722</v>
      </c>
      <c r="H140" s="530">
        <v>516</v>
      </c>
      <c r="I140" s="530">
        <v>58</v>
      </c>
      <c r="J140" s="530">
        <v>14</v>
      </c>
      <c r="K140" s="530">
        <v>22</v>
      </c>
      <c r="L140" s="530">
        <v>0</v>
      </c>
      <c r="M140" s="530">
        <v>14</v>
      </c>
      <c r="N140" s="531"/>
    </row>
    <row r="141" spans="1:14" ht="16">
      <c r="A141" s="530" t="s">
        <v>1046</v>
      </c>
      <c r="B141" s="530" t="s">
        <v>1047</v>
      </c>
      <c r="C141" s="530" t="s">
        <v>45</v>
      </c>
      <c r="D141" s="530" t="s">
        <v>1169</v>
      </c>
      <c r="E141" s="530">
        <v>12836</v>
      </c>
      <c r="F141" s="530">
        <v>722</v>
      </c>
      <c r="G141" s="530">
        <v>722</v>
      </c>
      <c r="H141" s="530">
        <v>516</v>
      </c>
      <c r="I141" s="530">
        <v>58</v>
      </c>
      <c r="J141" s="530">
        <v>14</v>
      </c>
      <c r="K141" s="530">
        <v>22</v>
      </c>
      <c r="L141" s="530">
        <v>0</v>
      </c>
      <c r="M141" s="530">
        <v>14</v>
      </c>
      <c r="N141" s="531"/>
    </row>
    <row r="142" spans="1:14" ht="16">
      <c r="A142" s="530" t="s">
        <v>1046</v>
      </c>
      <c r="B142" s="530" t="s">
        <v>1047</v>
      </c>
      <c r="C142" s="530" t="s">
        <v>45</v>
      </c>
      <c r="D142" s="530" t="s">
        <v>1170</v>
      </c>
      <c r="E142" s="530">
        <v>2063</v>
      </c>
      <c r="F142" s="530">
        <v>96</v>
      </c>
      <c r="G142" s="530">
        <v>96</v>
      </c>
      <c r="H142" s="530">
        <v>54</v>
      </c>
      <c r="I142" s="530">
        <v>19</v>
      </c>
      <c r="J142" s="530">
        <v>5</v>
      </c>
      <c r="K142" s="530">
        <v>79</v>
      </c>
      <c r="L142" s="530">
        <v>59</v>
      </c>
      <c r="M142" s="530">
        <v>0</v>
      </c>
      <c r="N142" s="531"/>
    </row>
    <row r="143" spans="1:14" ht="16">
      <c r="A143" s="530" t="s">
        <v>1046</v>
      </c>
      <c r="B143" s="530" t="s">
        <v>1047</v>
      </c>
      <c r="C143" s="530" t="s">
        <v>45</v>
      </c>
      <c r="D143" s="530" t="s">
        <v>1171</v>
      </c>
      <c r="E143" s="530">
        <v>2063</v>
      </c>
      <c r="F143" s="530">
        <v>96</v>
      </c>
      <c r="G143" s="530">
        <v>96</v>
      </c>
      <c r="H143" s="530">
        <v>54</v>
      </c>
      <c r="I143" s="530">
        <v>19</v>
      </c>
      <c r="J143" s="530">
        <v>5</v>
      </c>
      <c r="K143" s="530">
        <v>79</v>
      </c>
      <c r="L143" s="530">
        <v>59</v>
      </c>
      <c r="M143" s="530">
        <v>0</v>
      </c>
      <c r="N143" s="531"/>
    </row>
    <row r="144" spans="1:14" ht="16">
      <c r="A144" s="530" t="s">
        <v>1046</v>
      </c>
      <c r="B144" s="530" t="s">
        <v>1047</v>
      </c>
      <c r="C144" s="530" t="s">
        <v>45</v>
      </c>
      <c r="D144" s="530" t="s">
        <v>1172</v>
      </c>
      <c r="E144" s="530">
        <v>2163</v>
      </c>
      <c r="F144" s="530">
        <v>93</v>
      </c>
      <c r="G144" s="530">
        <v>93</v>
      </c>
      <c r="H144" s="530">
        <v>52</v>
      </c>
      <c r="I144" s="530">
        <v>9</v>
      </c>
      <c r="J144" s="530">
        <v>12</v>
      </c>
      <c r="K144" s="530">
        <v>80</v>
      </c>
      <c r="L144" s="530">
        <v>60</v>
      </c>
      <c r="M144" s="530">
        <v>0</v>
      </c>
      <c r="N144" s="531"/>
    </row>
    <row r="145" spans="1:14" ht="16">
      <c r="A145" s="530" t="s">
        <v>1046</v>
      </c>
      <c r="B145" s="530" t="s">
        <v>1047</v>
      </c>
      <c r="C145" s="530" t="s">
        <v>45</v>
      </c>
      <c r="D145" s="530" t="s">
        <v>1173</v>
      </c>
      <c r="E145" s="530">
        <v>2163</v>
      </c>
      <c r="F145" s="530">
        <v>93</v>
      </c>
      <c r="G145" s="530">
        <v>93</v>
      </c>
      <c r="H145" s="530">
        <v>52</v>
      </c>
      <c r="I145" s="530">
        <v>9</v>
      </c>
      <c r="J145" s="530">
        <v>12</v>
      </c>
      <c r="K145" s="530">
        <v>80</v>
      </c>
      <c r="L145" s="530">
        <v>60</v>
      </c>
      <c r="M145" s="530">
        <v>0</v>
      </c>
      <c r="N145" s="531"/>
    </row>
    <row r="146" spans="1:14" ht="16">
      <c r="A146" s="530" t="s">
        <v>1046</v>
      </c>
      <c r="B146" s="530" t="s">
        <v>1047</v>
      </c>
      <c r="C146" s="530" t="s">
        <v>45</v>
      </c>
      <c r="D146" s="530" t="s">
        <v>1174</v>
      </c>
      <c r="E146" s="530">
        <v>2034</v>
      </c>
      <c r="F146" s="530">
        <v>97</v>
      </c>
      <c r="G146" s="530">
        <v>97</v>
      </c>
      <c r="H146" s="530">
        <v>71</v>
      </c>
      <c r="I146" s="530">
        <v>5</v>
      </c>
      <c r="J146" s="530">
        <v>0</v>
      </c>
      <c r="K146" s="530">
        <v>75</v>
      </c>
      <c r="L146" s="530">
        <v>58</v>
      </c>
      <c r="M146" s="530">
        <v>0</v>
      </c>
      <c r="N146" s="531"/>
    </row>
    <row r="147" spans="1:14" ht="16">
      <c r="A147" s="530" t="s">
        <v>1046</v>
      </c>
      <c r="B147" s="530" t="s">
        <v>1047</v>
      </c>
      <c r="C147" s="530" t="s">
        <v>45</v>
      </c>
      <c r="D147" s="530" t="s">
        <v>1175</v>
      </c>
      <c r="E147" s="530">
        <v>2034</v>
      </c>
      <c r="F147" s="530">
        <v>97</v>
      </c>
      <c r="G147" s="530">
        <v>97</v>
      </c>
      <c r="H147" s="530">
        <v>71</v>
      </c>
      <c r="I147" s="530">
        <v>5</v>
      </c>
      <c r="J147" s="530">
        <v>0</v>
      </c>
      <c r="K147" s="530">
        <v>75</v>
      </c>
      <c r="L147" s="530">
        <v>58</v>
      </c>
      <c r="M147" s="530">
        <v>0</v>
      </c>
      <c r="N147" s="531"/>
    </row>
    <row r="148" spans="1:14" ht="16">
      <c r="A148" s="530" t="s">
        <v>1046</v>
      </c>
      <c r="B148" s="530" t="s">
        <v>1047</v>
      </c>
      <c r="C148" s="530" t="s">
        <v>45</v>
      </c>
      <c r="D148" s="530" t="s">
        <v>1176</v>
      </c>
      <c r="E148" s="530">
        <v>2502</v>
      </c>
      <c r="F148" s="530">
        <v>145</v>
      </c>
      <c r="G148" s="530">
        <v>145</v>
      </c>
      <c r="H148" s="530">
        <v>65</v>
      </c>
      <c r="I148" s="530">
        <v>9</v>
      </c>
      <c r="J148" s="530">
        <v>22</v>
      </c>
      <c r="K148" s="530">
        <v>27</v>
      </c>
      <c r="L148" s="530">
        <v>13</v>
      </c>
      <c r="M148" s="530">
        <v>0</v>
      </c>
      <c r="N148" s="531"/>
    </row>
    <row r="149" spans="1:14" ht="16">
      <c r="A149" s="530" t="s">
        <v>1046</v>
      </c>
      <c r="B149" s="530" t="s">
        <v>1047</v>
      </c>
      <c r="C149" s="530" t="s">
        <v>45</v>
      </c>
      <c r="D149" s="530" t="s">
        <v>1177</v>
      </c>
      <c r="E149" s="530">
        <v>2502</v>
      </c>
      <c r="F149" s="530">
        <v>145</v>
      </c>
      <c r="G149" s="530">
        <v>145</v>
      </c>
      <c r="H149" s="530">
        <v>65</v>
      </c>
      <c r="I149" s="530">
        <v>9</v>
      </c>
      <c r="J149" s="530">
        <v>22</v>
      </c>
      <c r="K149" s="530">
        <v>27</v>
      </c>
      <c r="L149" s="530">
        <v>13</v>
      </c>
      <c r="M149" s="530">
        <v>0</v>
      </c>
      <c r="N149" s="531"/>
    </row>
    <row r="150" spans="1:14" ht="16">
      <c r="A150" s="530" t="s">
        <v>1046</v>
      </c>
      <c r="B150" s="530" t="s">
        <v>1047</v>
      </c>
      <c r="C150" s="530" t="s">
        <v>45</v>
      </c>
      <c r="D150" s="530" t="s">
        <v>1178</v>
      </c>
      <c r="E150" s="530">
        <v>2570</v>
      </c>
      <c r="F150" s="530">
        <v>141</v>
      </c>
      <c r="G150" s="530">
        <v>141</v>
      </c>
      <c r="H150" s="530">
        <v>83</v>
      </c>
      <c r="I150" s="530">
        <v>1</v>
      </c>
      <c r="J150" s="530">
        <v>5</v>
      </c>
      <c r="K150" s="530">
        <v>30</v>
      </c>
      <c r="L150" s="530">
        <v>13</v>
      </c>
      <c r="M150" s="530">
        <v>0</v>
      </c>
      <c r="N150" s="531"/>
    </row>
    <row r="151" spans="1:14" ht="16">
      <c r="A151" s="530" t="s">
        <v>1046</v>
      </c>
      <c r="B151" s="530" t="s">
        <v>1047</v>
      </c>
      <c r="C151" s="530" t="s">
        <v>45</v>
      </c>
      <c r="D151" s="530" t="s">
        <v>1179</v>
      </c>
      <c r="E151" s="530">
        <v>2570</v>
      </c>
      <c r="F151" s="530">
        <v>141</v>
      </c>
      <c r="G151" s="530">
        <v>141</v>
      </c>
      <c r="H151" s="530">
        <v>83</v>
      </c>
      <c r="I151" s="530">
        <v>1</v>
      </c>
      <c r="J151" s="530">
        <v>5</v>
      </c>
      <c r="K151" s="530">
        <v>30</v>
      </c>
      <c r="L151" s="530">
        <v>13</v>
      </c>
      <c r="M151" s="530">
        <v>0</v>
      </c>
      <c r="N151" s="531"/>
    </row>
    <row r="152" spans="1:14" ht="16">
      <c r="A152" s="530" t="s">
        <v>1046</v>
      </c>
      <c r="B152" s="530" t="s">
        <v>1047</v>
      </c>
      <c r="C152" s="530" t="s">
        <v>45</v>
      </c>
      <c r="D152" s="530" t="s">
        <v>1180</v>
      </c>
      <c r="E152" s="530">
        <v>2007</v>
      </c>
      <c r="F152" s="530">
        <v>91</v>
      </c>
      <c r="G152" s="530">
        <v>91</v>
      </c>
      <c r="H152" s="530">
        <v>60</v>
      </c>
      <c r="I152" s="530">
        <v>13</v>
      </c>
      <c r="J152" s="530">
        <v>8</v>
      </c>
      <c r="K152" s="530">
        <v>79</v>
      </c>
      <c r="L152" s="530">
        <v>29</v>
      </c>
      <c r="M152" s="530">
        <v>26</v>
      </c>
      <c r="N152" s="531"/>
    </row>
    <row r="153" spans="1:14" ht="16">
      <c r="A153" s="530" t="s">
        <v>1046</v>
      </c>
      <c r="B153" s="530" t="s">
        <v>1047</v>
      </c>
      <c r="C153" s="530" t="s">
        <v>45</v>
      </c>
      <c r="D153" s="530" t="s">
        <v>1181</v>
      </c>
      <c r="E153" s="530">
        <v>2007</v>
      </c>
      <c r="F153" s="530">
        <v>91</v>
      </c>
      <c r="G153" s="530">
        <v>91</v>
      </c>
      <c r="H153" s="530">
        <v>60</v>
      </c>
      <c r="I153" s="530">
        <v>13</v>
      </c>
      <c r="J153" s="530">
        <v>8</v>
      </c>
      <c r="K153" s="530">
        <v>79</v>
      </c>
      <c r="L153" s="530">
        <v>29</v>
      </c>
      <c r="M153" s="530">
        <v>26</v>
      </c>
      <c r="N153" s="531"/>
    </row>
    <row r="154" spans="1:14" ht="16">
      <c r="A154" s="530" t="s">
        <v>1046</v>
      </c>
      <c r="B154" s="530" t="s">
        <v>1047</v>
      </c>
      <c r="C154" s="530" t="s">
        <v>45</v>
      </c>
      <c r="D154" s="530" t="s">
        <v>1182</v>
      </c>
      <c r="E154" s="530">
        <v>3460</v>
      </c>
      <c r="F154" s="530">
        <v>199</v>
      </c>
      <c r="G154" s="530">
        <v>199</v>
      </c>
      <c r="H154" s="530">
        <v>115</v>
      </c>
      <c r="I154" s="530">
        <v>23</v>
      </c>
      <c r="J154" s="530">
        <v>18</v>
      </c>
      <c r="K154" s="530">
        <v>144</v>
      </c>
      <c r="L154" s="530">
        <v>100</v>
      </c>
      <c r="M154" s="530">
        <v>2</v>
      </c>
      <c r="N154" s="531"/>
    </row>
    <row r="155" spans="1:14" ht="16">
      <c r="A155" s="530" t="s">
        <v>1046</v>
      </c>
      <c r="B155" s="530" t="s">
        <v>1047</v>
      </c>
      <c r="C155" s="530" t="s">
        <v>45</v>
      </c>
      <c r="D155" s="530" t="s">
        <v>1183</v>
      </c>
      <c r="E155" s="530">
        <v>3460</v>
      </c>
      <c r="F155" s="530">
        <v>199</v>
      </c>
      <c r="G155" s="530">
        <v>199</v>
      </c>
      <c r="H155" s="530">
        <v>115</v>
      </c>
      <c r="I155" s="530">
        <v>23</v>
      </c>
      <c r="J155" s="530">
        <v>18</v>
      </c>
      <c r="K155" s="530">
        <v>144</v>
      </c>
      <c r="L155" s="530">
        <v>100</v>
      </c>
      <c r="M155" s="530">
        <v>2</v>
      </c>
      <c r="N155" s="531"/>
    </row>
    <row r="156" spans="1:14" ht="16">
      <c r="A156" s="530" t="s">
        <v>1046</v>
      </c>
      <c r="B156" s="530" t="s">
        <v>1047</v>
      </c>
      <c r="C156" s="530" t="s">
        <v>45</v>
      </c>
      <c r="D156" s="530" t="s">
        <v>1184</v>
      </c>
      <c r="E156" s="530">
        <v>5307</v>
      </c>
      <c r="F156" s="530">
        <v>284</v>
      </c>
      <c r="G156" s="530">
        <v>284</v>
      </c>
      <c r="H156" s="530">
        <v>166</v>
      </c>
      <c r="I156" s="530">
        <v>55</v>
      </c>
      <c r="J156" s="530">
        <v>24</v>
      </c>
      <c r="K156" s="530">
        <v>57</v>
      </c>
      <c r="L156" s="530">
        <v>45</v>
      </c>
      <c r="M156" s="530">
        <v>5</v>
      </c>
      <c r="N156" s="531"/>
    </row>
    <row r="157" spans="1:14" ht="16">
      <c r="A157" s="530" t="s">
        <v>1046</v>
      </c>
      <c r="B157" s="530" t="s">
        <v>1047</v>
      </c>
      <c r="C157" s="530" t="s">
        <v>45</v>
      </c>
      <c r="D157" s="530" t="s">
        <v>1185</v>
      </c>
      <c r="E157" s="530">
        <v>5307</v>
      </c>
      <c r="F157" s="530">
        <v>284</v>
      </c>
      <c r="G157" s="530">
        <v>284</v>
      </c>
      <c r="H157" s="530">
        <v>166</v>
      </c>
      <c r="I157" s="530">
        <v>55</v>
      </c>
      <c r="J157" s="530">
        <v>24</v>
      </c>
      <c r="K157" s="530">
        <v>57</v>
      </c>
      <c r="L157" s="530">
        <v>45</v>
      </c>
      <c r="M157" s="530">
        <v>5</v>
      </c>
      <c r="N157" s="531"/>
    </row>
    <row r="158" spans="1:14" ht="16">
      <c r="A158" s="530" t="s">
        <v>1046</v>
      </c>
      <c r="B158" s="530" t="s">
        <v>1047</v>
      </c>
      <c r="C158" s="530" t="s">
        <v>45</v>
      </c>
      <c r="D158" s="530" t="s">
        <v>1186</v>
      </c>
      <c r="E158" s="530">
        <v>3470</v>
      </c>
      <c r="F158" s="530">
        <v>176</v>
      </c>
      <c r="G158" s="530">
        <v>176</v>
      </c>
      <c r="H158" s="530">
        <v>102</v>
      </c>
      <c r="I158" s="530">
        <v>17</v>
      </c>
      <c r="J158" s="530">
        <v>1</v>
      </c>
      <c r="K158" s="530">
        <v>164</v>
      </c>
      <c r="L158" s="530">
        <v>117</v>
      </c>
      <c r="M158" s="530">
        <v>0</v>
      </c>
      <c r="N158" s="531"/>
    </row>
    <row r="159" spans="1:14" ht="16">
      <c r="A159" s="530" t="s">
        <v>1046</v>
      </c>
      <c r="B159" s="530" t="s">
        <v>1047</v>
      </c>
      <c r="C159" s="530" t="s">
        <v>45</v>
      </c>
      <c r="D159" s="530" t="s">
        <v>1187</v>
      </c>
      <c r="E159" s="530">
        <v>3470</v>
      </c>
      <c r="F159" s="530">
        <v>176</v>
      </c>
      <c r="G159" s="530">
        <v>176</v>
      </c>
      <c r="H159" s="530">
        <v>102</v>
      </c>
      <c r="I159" s="530">
        <v>17</v>
      </c>
      <c r="J159" s="530">
        <v>1</v>
      </c>
      <c r="K159" s="530">
        <v>164</v>
      </c>
      <c r="L159" s="530">
        <v>117</v>
      </c>
      <c r="M159" s="530">
        <v>0</v>
      </c>
      <c r="N159" s="531"/>
    </row>
    <row r="160" spans="1:14" ht="16">
      <c r="A160" s="530" t="s">
        <v>1046</v>
      </c>
      <c r="B160" s="530" t="s">
        <v>1047</v>
      </c>
      <c r="C160" s="530" t="s">
        <v>45</v>
      </c>
      <c r="D160" s="530" t="s">
        <v>1188</v>
      </c>
      <c r="E160" s="530">
        <v>6031</v>
      </c>
      <c r="F160" s="530">
        <v>319</v>
      </c>
      <c r="G160" s="530">
        <v>319</v>
      </c>
      <c r="H160" s="530">
        <v>199</v>
      </c>
      <c r="I160" s="530">
        <v>34</v>
      </c>
      <c r="J160" s="530">
        <v>5</v>
      </c>
      <c r="K160" s="530">
        <v>20</v>
      </c>
      <c r="L160" s="530">
        <v>19</v>
      </c>
      <c r="M160" s="530">
        <v>0</v>
      </c>
      <c r="N160" s="531"/>
    </row>
    <row r="161" spans="1:14" ht="16">
      <c r="A161" s="530" t="s">
        <v>1046</v>
      </c>
      <c r="B161" s="530" t="s">
        <v>1047</v>
      </c>
      <c r="C161" s="530" t="s">
        <v>45</v>
      </c>
      <c r="D161" s="530" t="s">
        <v>1189</v>
      </c>
      <c r="E161" s="530">
        <v>6031</v>
      </c>
      <c r="F161" s="530">
        <v>319</v>
      </c>
      <c r="G161" s="530">
        <v>319</v>
      </c>
      <c r="H161" s="530">
        <v>199</v>
      </c>
      <c r="I161" s="530">
        <v>34</v>
      </c>
      <c r="J161" s="530">
        <v>5</v>
      </c>
      <c r="K161" s="530">
        <v>20</v>
      </c>
      <c r="L161" s="530">
        <v>19</v>
      </c>
      <c r="M161" s="530">
        <v>0</v>
      </c>
      <c r="N161" s="531"/>
    </row>
    <row r="162" spans="1:14" ht="16">
      <c r="A162" s="530" t="s">
        <v>1046</v>
      </c>
      <c r="B162" s="530" t="s">
        <v>1047</v>
      </c>
      <c r="C162" s="530" t="s">
        <v>45</v>
      </c>
      <c r="D162" s="530" t="s">
        <v>1190</v>
      </c>
      <c r="E162" s="530">
        <v>4683</v>
      </c>
      <c r="F162" s="530">
        <v>244</v>
      </c>
      <c r="G162" s="530">
        <v>244</v>
      </c>
      <c r="H162" s="530">
        <v>128</v>
      </c>
      <c r="I162" s="530">
        <v>68</v>
      </c>
      <c r="J162" s="530">
        <v>6</v>
      </c>
      <c r="K162" s="530">
        <v>94</v>
      </c>
      <c r="L162" s="530">
        <v>21</v>
      </c>
      <c r="M162" s="530">
        <v>41</v>
      </c>
      <c r="N162" s="531"/>
    </row>
    <row r="163" spans="1:14" ht="16">
      <c r="A163" s="530" t="s">
        <v>1046</v>
      </c>
      <c r="B163" s="530" t="s">
        <v>1047</v>
      </c>
      <c r="C163" s="530" t="s">
        <v>45</v>
      </c>
      <c r="D163" s="530" t="s">
        <v>1191</v>
      </c>
      <c r="E163" s="530">
        <v>4683</v>
      </c>
      <c r="F163" s="530">
        <v>244</v>
      </c>
      <c r="G163" s="530">
        <v>244</v>
      </c>
      <c r="H163" s="530">
        <v>128</v>
      </c>
      <c r="I163" s="530">
        <v>68</v>
      </c>
      <c r="J163" s="530">
        <v>6</v>
      </c>
      <c r="K163" s="530">
        <v>94</v>
      </c>
      <c r="L163" s="530">
        <v>21</v>
      </c>
      <c r="M163" s="530">
        <v>41</v>
      </c>
      <c r="N163" s="531"/>
    </row>
    <row r="164" spans="1:14" ht="16">
      <c r="A164" s="530" t="s">
        <v>1046</v>
      </c>
      <c r="B164" s="530" t="s">
        <v>1047</v>
      </c>
      <c r="C164" s="530" t="s">
        <v>45</v>
      </c>
      <c r="D164" s="530" t="s">
        <v>1192</v>
      </c>
      <c r="E164" s="530">
        <v>3915</v>
      </c>
      <c r="F164" s="530">
        <v>249</v>
      </c>
      <c r="G164" s="530">
        <v>249</v>
      </c>
      <c r="H164" s="530">
        <v>130</v>
      </c>
      <c r="I164" s="530">
        <v>34</v>
      </c>
      <c r="J164" s="530">
        <v>20</v>
      </c>
      <c r="K164" s="530">
        <v>89</v>
      </c>
      <c r="L164" s="530">
        <v>67</v>
      </c>
      <c r="M164" s="530">
        <v>0</v>
      </c>
      <c r="N164" s="531"/>
    </row>
    <row r="165" spans="1:14" ht="16">
      <c r="A165" s="530" t="s">
        <v>1046</v>
      </c>
      <c r="B165" s="530" t="s">
        <v>1047</v>
      </c>
      <c r="C165" s="530" t="s">
        <v>45</v>
      </c>
      <c r="D165" s="530" t="s">
        <v>1193</v>
      </c>
      <c r="E165" s="530">
        <v>3915</v>
      </c>
      <c r="F165" s="530">
        <v>249</v>
      </c>
      <c r="G165" s="530">
        <v>249</v>
      </c>
      <c r="H165" s="530">
        <v>130</v>
      </c>
      <c r="I165" s="530">
        <v>34</v>
      </c>
      <c r="J165" s="530">
        <v>20</v>
      </c>
      <c r="K165" s="530">
        <v>89</v>
      </c>
      <c r="L165" s="530">
        <v>67</v>
      </c>
      <c r="M165" s="530">
        <v>0</v>
      </c>
      <c r="N165" s="531"/>
    </row>
    <row r="166" spans="1:14" ht="16">
      <c r="A166" s="530" t="s">
        <v>1046</v>
      </c>
      <c r="B166" s="530" t="s">
        <v>1047</v>
      </c>
      <c r="C166" s="530" t="s">
        <v>45</v>
      </c>
      <c r="D166" s="530" t="s">
        <v>1194</v>
      </c>
      <c r="E166" s="530">
        <v>5192</v>
      </c>
      <c r="F166" s="530">
        <v>316</v>
      </c>
      <c r="G166" s="530">
        <v>316</v>
      </c>
      <c r="H166" s="530">
        <v>182</v>
      </c>
      <c r="I166" s="530">
        <v>25</v>
      </c>
      <c r="J166" s="530">
        <v>5</v>
      </c>
      <c r="K166" s="530">
        <v>21</v>
      </c>
      <c r="L166" s="530">
        <v>15</v>
      </c>
      <c r="M166" s="530">
        <v>0</v>
      </c>
      <c r="N166" s="531"/>
    </row>
    <row r="167" spans="1:14" ht="16">
      <c r="A167" s="530" t="s">
        <v>1046</v>
      </c>
      <c r="B167" s="530" t="s">
        <v>1047</v>
      </c>
      <c r="C167" s="530" t="s">
        <v>45</v>
      </c>
      <c r="D167" s="530" t="s">
        <v>1195</v>
      </c>
      <c r="E167" s="530">
        <v>5192</v>
      </c>
      <c r="F167" s="530">
        <v>316</v>
      </c>
      <c r="G167" s="530">
        <v>316</v>
      </c>
      <c r="H167" s="530">
        <v>182</v>
      </c>
      <c r="I167" s="530">
        <v>25</v>
      </c>
      <c r="J167" s="530">
        <v>5</v>
      </c>
      <c r="K167" s="530">
        <v>21</v>
      </c>
      <c r="L167" s="530">
        <v>15</v>
      </c>
      <c r="M167" s="530">
        <v>0</v>
      </c>
      <c r="N167" s="531"/>
    </row>
    <row r="168" spans="1:14" ht="16">
      <c r="A168" s="530" t="s">
        <v>1046</v>
      </c>
      <c r="B168" s="530" t="s">
        <v>1047</v>
      </c>
      <c r="C168" s="530" t="s">
        <v>45</v>
      </c>
      <c r="D168" s="530" t="s">
        <v>1196</v>
      </c>
      <c r="E168" s="530">
        <v>4412</v>
      </c>
      <c r="F168" s="530">
        <v>272</v>
      </c>
      <c r="G168" s="530">
        <v>272</v>
      </c>
      <c r="H168" s="530">
        <v>143</v>
      </c>
      <c r="I168" s="530">
        <v>71</v>
      </c>
      <c r="J168" s="530">
        <v>13</v>
      </c>
      <c r="K168" s="530">
        <v>65</v>
      </c>
      <c r="L168" s="530">
        <v>62</v>
      </c>
      <c r="M168" s="530">
        <v>0</v>
      </c>
      <c r="N168" s="531"/>
    </row>
    <row r="169" spans="1:14" ht="16">
      <c r="A169" s="530" t="s">
        <v>1046</v>
      </c>
      <c r="B169" s="530" t="s">
        <v>1047</v>
      </c>
      <c r="C169" s="530" t="s">
        <v>45</v>
      </c>
      <c r="D169" s="530" t="s">
        <v>1197</v>
      </c>
      <c r="E169" s="530">
        <v>4412</v>
      </c>
      <c r="F169" s="530">
        <v>272</v>
      </c>
      <c r="G169" s="530">
        <v>272</v>
      </c>
      <c r="H169" s="530">
        <v>143</v>
      </c>
      <c r="I169" s="530">
        <v>71</v>
      </c>
      <c r="J169" s="530">
        <v>13</v>
      </c>
      <c r="K169" s="530">
        <v>65</v>
      </c>
      <c r="L169" s="530">
        <v>62</v>
      </c>
      <c r="M169" s="530">
        <v>0</v>
      </c>
      <c r="N169" s="531"/>
    </row>
    <row r="170" spans="1:14" ht="16">
      <c r="A170" s="530" t="s">
        <v>1046</v>
      </c>
      <c r="B170" s="530" t="s">
        <v>1047</v>
      </c>
      <c r="C170" s="530" t="s">
        <v>45</v>
      </c>
      <c r="D170" s="530" t="s">
        <v>1198</v>
      </c>
      <c r="E170" s="530">
        <v>4772</v>
      </c>
      <c r="F170" s="530">
        <v>317</v>
      </c>
      <c r="G170" s="530">
        <v>317</v>
      </c>
      <c r="H170" s="530">
        <v>239</v>
      </c>
      <c r="I170" s="530">
        <v>21</v>
      </c>
      <c r="J170" s="530">
        <v>11</v>
      </c>
      <c r="K170" s="530">
        <v>19</v>
      </c>
      <c r="L170" s="530">
        <v>16</v>
      </c>
      <c r="M170" s="530">
        <v>0</v>
      </c>
      <c r="N170" s="531"/>
    </row>
    <row r="171" spans="1:14" ht="16">
      <c r="A171" s="530" t="s">
        <v>1046</v>
      </c>
      <c r="B171" s="530" t="s">
        <v>1047</v>
      </c>
      <c r="C171" s="530" t="s">
        <v>45</v>
      </c>
      <c r="D171" s="530" t="s">
        <v>1199</v>
      </c>
      <c r="E171" s="530">
        <v>4772</v>
      </c>
      <c r="F171" s="530">
        <v>317</v>
      </c>
      <c r="G171" s="530">
        <v>317</v>
      </c>
      <c r="H171" s="530">
        <v>239</v>
      </c>
      <c r="I171" s="530">
        <v>21</v>
      </c>
      <c r="J171" s="530">
        <v>11</v>
      </c>
      <c r="K171" s="530">
        <v>19</v>
      </c>
      <c r="L171" s="530">
        <v>16</v>
      </c>
      <c r="M171" s="530">
        <v>0</v>
      </c>
      <c r="N171" s="531"/>
    </row>
    <row r="172" spans="1:14" ht="16">
      <c r="A172" s="530" t="s">
        <v>1046</v>
      </c>
      <c r="B172" s="530" t="s">
        <v>1047</v>
      </c>
      <c r="C172" s="530" t="s">
        <v>45</v>
      </c>
      <c r="D172" s="530" t="s">
        <v>1200</v>
      </c>
      <c r="E172" s="530">
        <v>1401</v>
      </c>
      <c r="F172" s="530">
        <v>119</v>
      </c>
      <c r="G172" s="530">
        <v>119</v>
      </c>
      <c r="H172" s="530">
        <v>60</v>
      </c>
      <c r="I172" s="530">
        <v>30</v>
      </c>
      <c r="J172" s="530">
        <v>9</v>
      </c>
      <c r="K172" s="530">
        <v>50</v>
      </c>
      <c r="L172" s="530">
        <v>32</v>
      </c>
      <c r="M172" s="530">
        <v>0</v>
      </c>
      <c r="N172" s="531"/>
    </row>
    <row r="173" spans="1:14" ht="16">
      <c r="A173" s="530" t="s">
        <v>1046</v>
      </c>
      <c r="B173" s="530" t="s">
        <v>1047</v>
      </c>
      <c r="C173" s="530" t="s">
        <v>45</v>
      </c>
      <c r="D173" s="530" t="s">
        <v>1201</v>
      </c>
      <c r="E173" s="530">
        <v>1401</v>
      </c>
      <c r="F173" s="530">
        <v>119</v>
      </c>
      <c r="G173" s="530">
        <v>119</v>
      </c>
      <c r="H173" s="530">
        <v>60</v>
      </c>
      <c r="I173" s="530">
        <v>30</v>
      </c>
      <c r="J173" s="530">
        <v>9</v>
      </c>
      <c r="K173" s="530">
        <v>50</v>
      </c>
      <c r="L173" s="530">
        <v>32</v>
      </c>
      <c r="M173" s="530">
        <v>0</v>
      </c>
      <c r="N173" s="531"/>
    </row>
    <row r="174" spans="1:14" ht="16">
      <c r="A174" s="530" t="s">
        <v>1202</v>
      </c>
      <c r="B174" s="530"/>
      <c r="C174" s="530"/>
      <c r="D174" s="530"/>
      <c r="E174" s="532">
        <f>SUM(E20:E173)/2</f>
        <v>882118</v>
      </c>
      <c r="F174" s="530">
        <v>100256</v>
      </c>
      <c r="G174" s="530">
        <v>100256</v>
      </c>
      <c r="H174" s="530">
        <v>64098</v>
      </c>
      <c r="I174" s="530">
        <v>9438</v>
      </c>
      <c r="J174" s="530">
        <v>2578</v>
      </c>
      <c r="K174" s="530">
        <v>6460</v>
      </c>
      <c r="L174" s="530">
        <v>3446</v>
      </c>
      <c r="M174" s="530">
        <v>1330</v>
      </c>
    </row>
    <row r="175" spans="1:14">
      <c r="E175" s="533">
        <f>E174*2</f>
        <v>1764236</v>
      </c>
    </row>
  </sheetData>
  <autoFilter ref="A19:M175" xr:uid="{00000000-0009-0000-0000-000002000000}"/>
  <mergeCells count="25">
    <mergeCell ref="E17:E18"/>
    <mergeCell ref="F17:F18"/>
    <mergeCell ref="G17:G18"/>
    <mergeCell ref="J17:J18"/>
    <mergeCell ref="K17:K18"/>
    <mergeCell ref="E16:F16"/>
    <mergeCell ref="G16:J16"/>
    <mergeCell ref="K16:M16"/>
    <mergeCell ref="A7:L7"/>
    <mergeCell ref="A8:L8"/>
    <mergeCell ref="A9:L9"/>
    <mergeCell ref="A10:L10"/>
    <mergeCell ref="A11:L11"/>
    <mergeCell ref="A12:L12"/>
    <mergeCell ref="A13:L13"/>
    <mergeCell ref="A14:M14"/>
    <mergeCell ref="E15:F15"/>
    <mergeCell ref="G15:J15"/>
    <mergeCell ref="K15:M15"/>
    <mergeCell ref="A6:L6"/>
    <mergeCell ref="A1:L1"/>
    <mergeCell ref="A2:L2"/>
    <mergeCell ref="A3:L3"/>
    <mergeCell ref="A4:L4"/>
    <mergeCell ref="A5:L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СТА за март 2026</vt:lpstr>
      <vt:lpstr>Бюджет времени</vt:lpstr>
      <vt:lpstr>Пробеги</vt:lpstr>
      <vt:lpstr>'СТА за март 2026'!Область_печати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2026-04-16T08:50:19Z</dcterms:modified>
</cp:coreProperties>
</file>