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filterPrivacy="1" codeName="ЭтаКнига"/>
  <xr:revisionPtr revIDLastSave="0" documentId="13_ncr:1_{A3BBAC9D-F424-D94F-B4AF-0B5706824C6B}" xr6:coauthVersionLast="47" xr6:coauthVersionMax="47" xr10:uidLastSave="{00000000-0000-0000-0000-000000000000}"/>
  <bookViews>
    <workbookView xWindow="0" yWindow="660" windowWidth="29040" windowHeight="15840" xr2:uid="{00000000-000D-0000-FFFF-FFFF00000000}"/>
  </bookViews>
  <sheets>
    <sheet name="СТА за марта 2026 года" sheetId="3" r:id="rId1"/>
    <sheet name="Пробеги" sheetId="7" r:id="rId2"/>
  </sheets>
  <definedNames>
    <definedName name="_xlnm._FilterDatabase" localSheetId="1" hidden="1">Пробеги!$A$19:$M$29</definedName>
    <definedName name="_xlnm._FilterDatabase" localSheetId="0" hidden="1">'СТА за марта 2026 года'!$A$10:$M$35</definedName>
    <definedName name="_xlnm.Print_Area" localSheetId="0">'СТА за марта 2026 года'!$A$1:$M$49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3" l="1"/>
  <c r="O20" i="3"/>
  <c r="O15" i="3"/>
  <c r="C32" i="3" l="1"/>
  <c r="C28" i="3"/>
  <c r="C23" i="3"/>
  <c r="C19" i="3"/>
  <c r="C15" i="3"/>
  <c r="E31" i="7"/>
  <c r="E30" i="7"/>
  <c r="Q27" i="3"/>
  <c r="M27" i="3"/>
  <c r="L27" i="3"/>
  <c r="K27" i="3"/>
  <c r="G27" i="3"/>
  <c r="R27" i="3" l="1"/>
  <c r="Q22" i="3" l="1"/>
  <c r="R22" i="3" s="1"/>
  <c r="M22" i="3"/>
  <c r="L22" i="3"/>
  <c r="K22" i="3"/>
  <c r="G22" i="3"/>
  <c r="Q18" i="3" l="1"/>
  <c r="M18" i="3"/>
  <c r="L18" i="3"/>
  <c r="K18" i="3"/>
  <c r="G18" i="3"/>
  <c r="Q14" i="3"/>
  <c r="M14" i="3"/>
  <c r="L14" i="3"/>
  <c r="K14" i="3"/>
  <c r="G14" i="3"/>
  <c r="Q31" i="3"/>
  <c r="M31" i="3"/>
  <c r="L31" i="3"/>
  <c r="K31" i="3"/>
  <c r="G31" i="3"/>
  <c r="Q26" i="3"/>
  <c r="M26" i="3"/>
  <c r="L26" i="3"/>
  <c r="K26" i="3"/>
  <c r="G26" i="3"/>
  <c r="Q13" i="3"/>
  <c r="M13" i="3"/>
  <c r="E41" i="3" s="1"/>
  <c r="O14" i="3" s="1"/>
  <c r="L13" i="3"/>
  <c r="K13" i="3"/>
  <c r="G13" i="3"/>
  <c r="Q21" i="3"/>
  <c r="M21" i="3"/>
  <c r="L21" i="3"/>
  <c r="K21" i="3"/>
  <c r="G21" i="3"/>
  <c r="Q17" i="3"/>
  <c r="M17" i="3"/>
  <c r="L17" i="3"/>
  <c r="K17" i="3"/>
  <c r="G17" i="3"/>
  <c r="V43" i="3"/>
  <c r="V38" i="3"/>
  <c r="O19" i="3" s="1"/>
  <c r="Q30" i="3"/>
  <c r="M30" i="3"/>
  <c r="L30" i="3"/>
  <c r="K30" i="3"/>
  <c r="G30" i="3"/>
  <c r="Q12" i="3"/>
  <c r="M12" i="3"/>
  <c r="L12" i="3"/>
  <c r="K12" i="3"/>
  <c r="G12" i="3"/>
  <c r="Q25" i="3"/>
  <c r="M25" i="3"/>
  <c r="L25" i="3"/>
  <c r="K25" i="3"/>
  <c r="G25" i="3"/>
  <c r="Q16" i="3"/>
  <c r="R16" i="3" s="1"/>
  <c r="M16" i="3"/>
  <c r="L16" i="3"/>
  <c r="K16" i="3"/>
  <c r="G16" i="3"/>
  <c r="Q29" i="3"/>
  <c r="R29" i="3" s="1"/>
  <c r="M29" i="3"/>
  <c r="L29" i="3"/>
  <c r="K29" i="3"/>
  <c r="G29" i="3"/>
  <c r="Q24" i="3"/>
  <c r="M24" i="3"/>
  <c r="M28" i="3" s="1"/>
  <c r="L24" i="3"/>
  <c r="K24" i="3"/>
  <c r="G24" i="3"/>
  <c r="Q20" i="3"/>
  <c r="M20" i="3"/>
  <c r="M23" i="3" s="1"/>
  <c r="L20" i="3"/>
  <c r="K20" i="3"/>
  <c r="G20" i="3"/>
  <c r="S70" i="3"/>
  <c r="R24" i="3" l="1"/>
  <c r="Q28" i="3"/>
  <c r="R20" i="3"/>
  <c r="Q23" i="3"/>
  <c r="M19" i="3"/>
  <c r="R18" i="3"/>
  <c r="Q19" i="3"/>
  <c r="R14" i="3"/>
  <c r="M32" i="3"/>
  <c r="R31" i="3"/>
  <c r="Q32" i="3"/>
  <c r="R26" i="3"/>
  <c r="R21" i="3"/>
  <c r="R17" i="3"/>
  <c r="R30" i="3"/>
  <c r="R12" i="3"/>
  <c r="R25" i="3"/>
  <c r="R28" i="3" l="1"/>
  <c r="R23" i="3"/>
  <c r="R19" i="3"/>
  <c r="R32" i="3"/>
  <c r="U85" i="3"/>
  <c r="U84" i="3"/>
  <c r="U83" i="3"/>
  <c r="U82" i="3"/>
  <c r="U81" i="3"/>
  <c r="U80" i="3"/>
  <c r="U78" i="3"/>
  <c r="U76" i="3"/>
  <c r="U75" i="3"/>
  <c r="U74" i="3"/>
  <c r="U71" i="3"/>
  <c r="U70" i="3"/>
  <c r="Q11" i="3" l="1"/>
  <c r="Q15" i="3" s="1"/>
  <c r="M11" i="3"/>
  <c r="M15" i="3" s="1"/>
  <c r="L11" i="3"/>
  <c r="K11" i="3"/>
  <c r="G11" i="3"/>
  <c r="M33" i="3" l="1"/>
  <c r="E40" i="3" s="1"/>
  <c r="O13" i="3" s="1"/>
  <c r="R11" i="3"/>
  <c r="R15" i="3" s="1"/>
  <c r="D19" i="3" l="1"/>
  <c r="E19" i="3" l="1"/>
  <c r="C33" i="3" l="1"/>
  <c r="O12" i="3" s="1"/>
  <c r="Q33" i="3" l="1"/>
  <c r="R33" i="3"/>
  <c r="E43" i="3" s="1"/>
  <c r="O16" i="3" s="1"/>
  <c r="O18" i="3" l="1"/>
  <c r="E28" i="3"/>
  <c r="E23" i="3" l="1"/>
  <c r="E15" i="3" l="1"/>
  <c r="D32" i="3" l="1"/>
  <c r="D28" i="3"/>
  <c r="D23" i="3"/>
  <c r="D15" i="3"/>
  <c r="D33" i="3" l="1"/>
  <c r="E32" i="3" l="1"/>
  <c r="E33" i="3" s="1"/>
  <c r="E39" i="3" s="1"/>
  <c r="O11" i="3" s="1"/>
  <c r="E44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Q1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3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Q14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6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7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18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0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1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2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4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5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6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7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29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0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Q31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S38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Акт №206</t>
        </r>
      </text>
    </comment>
  </commentList>
</comments>
</file>

<file path=xl/sharedStrings.xml><?xml version="1.0" encoding="utf-8"?>
<sst xmlns="http://schemas.openxmlformats.org/spreadsheetml/2006/main" count="243" uniqueCount="184">
  <si>
    <t>№ п/п</t>
  </si>
  <si>
    <t>2ЭС6 </t>
  </si>
  <si>
    <t>Номер Локомотива</t>
  </si>
  <si>
    <t>Фактический пробег локомотива за период *</t>
  </si>
  <si>
    <t>Пробег локомотивов, подлежащий оплате *</t>
  </si>
  <si>
    <t>Количество часов нахождения локомотива в эксплуатации**</t>
  </si>
  <si>
    <t>Дата постановки Локомотива в ремонт</t>
  </si>
  <si>
    <t>Время постановки Локомотива в ремонт</t>
  </si>
  <si>
    <t>№ Акта приемки Локомотива в ремонт</t>
  </si>
  <si>
    <t>Вид ремонта</t>
  </si>
  <si>
    <t>Дата выхода Локомотива из ремонта</t>
  </si>
  <si>
    <t>Время выхода Локомотива из ремонта</t>
  </si>
  <si>
    <t>№ Акта приемки Локомотива из ремонта</t>
  </si>
  <si>
    <t>Количество часов нахождения Локомотива в ремонте*</t>
  </si>
  <si>
    <t>Время в ОЖ.</t>
  </si>
  <si>
    <t>Время в ОЖ. За вычетом 1 часа в ИСПРАВНОМ состоянии</t>
  </si>
  <si>
    <t>ТО-2</t>
  </si>
  <si>
    <t>ИТОГО по лок-ву</t>
  </si>
  <si>
    <t>ВСЕГО</t>
  </si>
  <si>
    <t>* - пробеги локомотива заполняются только в итоговой строке по этому локомотиву</t>
  </si>
  <si>
    <t>** - с учётом времени простоев на станционных или деповских путях в ожидании технического обслуживания ТО-2, ТО-2 и экипировки, ТР.</t>
  </si>
  <si>
    <t>Примечание: Пробег локомотивов, подлежащий оплате, рассчитывается по формуле, приведенной в пункте 19.1 Договора.</t>
  </si>
  <si>
    <t>Количество часов нахождения в работоспособном состоянии:</t>
  </si>
  <si>
    <t xml:space="preserve">Количество часов нахождения в Обслуживании (ТО, ТР): </t>
  </si>
  <si>
    <t>Количество часов нахождения в Обслуживании непредвиденном:</t>
  </si>
  <si>
    <t>Количество часов нахождения в Обслуживании гарантийном:</t>
  </si>
  <si>
    <t>Количество часов нахождения в ожидании ТО-2, ТО-2 с экипировкой, ТР:</t>
  </si>
  <si>
    <t>КТГф составил:</t>
  </si>
  <si>
    <t>ноября</t>
  </si>
  <si>
    <t>февраля</t>
  </si>
  <si>
    <t>марта</t>
  </si>
  <si>
    <t>июня</t>
  </si>
  <si>
    <t>июля</t>
  </si>
  <si>
    <t>августа</t>
  </si>
  <si>
    <t>сентября</t>
  </si>
  <si>
    <t>декабря</t>
  </si>
  <si>
    <t>января</t>
  </si>
  <si>
    <t>Дата постановки в ОЖ. ТО-2, ОЖ. ТО-2 с экипировкой,ож ТР,  ож НЕПЛ РЕМ</t>
  </si>
  <si>
    <t>октября</t>
  </si>
  <si>
    <t>мая</t>
  </si>
  <si>
    <t>апреля</t>
  </si>
  <si>
    <t>Неплановый ремонт по вине ОАО "РЖД". Выдержка из истории локомотива АСУТЦТ</t>
  </si>
  <si>
    <t>Серия</t>
  </si>
  <si>
    <t>Номер</t>
  </si>
  <si>
    <t>Дата</t>
  </si>
  <si>
    <t>Состояние</t>
  </si>
  <si>
    <t>Операция</t>
  </si>
  <si>
    <t>Дислокация</t>
  </si>
  <si>
    <t>время </t>
  </si>
  <si>
    <t>2ЭС6</t>
  </si>
  <si>
    <t>Неплановый ремонт по вине ООО "УЛ". Выдержка из истории локомотива АСУТЦТ</t>
  </si>
  <si>
    <t>Время из работоспособного состояния</t>
  </si>
  <si>
    <t>Настоящий Акт составлен по серии Локомотивов</t>
  </si>
  <si>
    <t>ОЖ.НР / ОЖ.ОТПР.НР.</t>
  </si>
  <si>
    <t>04-03-26 05:12</t>
  </si>
  <si>
    <t>05-03-26 05:32</t>
  </si>
  <si>
    <t>04-03-26 09:06</t>
  </si>
  <si>
    <t>04-03-26 10:22</t>
  </si>
  <si>
    <t>04-03-26 15:15</t>
  </si>
  <si>
    <t>04-03-26 20:53</t>
  </si>
  <si>
    <t>04-03-26 21:57</t>
  </si>
  <si>
    <t>НР</t>
  </si>
  <si>
    <t>04-03-26 23:48</t>
  </si>
  <si>
    <t>05-03-26 01:30</t>
  </si>
  <si>
    <t>05-03-26 02:23</t>
  </si>
  <si>
    <t>05-03-26 08:31</t>
  </si>
  <si>
    <t>05-03-26 09:42</t>
  </si>
  <si>
    <t>07-03-26 10:20</t>
  </si>
  <si>
    <t>07-03-26 11:03</t>
  </si>
  <si>
    <t>07-03-26 12:06</t>
  </si>
  <si>
    <t>08-03-26 09:54</t>
  </si>
  <si>
    <t>08-03-26 14:27</t>
  </si>
  <si>
    <t>08-03-26 15:41</t>
  </si>
  <si>
    <t>№495</t>
  </si>
  <si>
    <t>№514</t>
  </si>
  <si>
    <t>№523</t>
  </si>
  <si>
    <t>№485</t>
  </si>
  <si>
    <t>№491</t>
  </si>
  <si>
    <t>11-03-26 19:34</t>
  </si>
  <si>
    <t>11-03-26 21:17</t>
  </si>
  <si>
    <t>11-03-26 22:31</t>
  </si>
  <si>
    <t>№543</t>
  </si>
  <si>
    <t>14-03-26 00:56</t>
  </si>
  <si>
    <t>14-03-26 04:55</t>
  </si>
  <si>
    <t>14-03-26 06:14</t>
  </si>
  <si>
    <t>13-03-26 10:34</t>
  </si>
  <si>
    <t>13-03-26 14:45</t>
  </si>
  <si>
    <t>13-03-26 15:57</t>
  </si>
  <si>
    <t>05-03-26 01:29</t>
  </si>
  <si>
    <t>ОЖ.НР.</t>
  </si>
  <si>
    <t>РЦ-15 БАБАЕВО</t>
  </si>
  <si>
    <t>№557</t>
  </si>
  <si>
    <t>№554</t>
  </si>
  <si>
    <t>16-03-26 19:35</t>
  </si>
  <si>
    <t>16-03-26 20:49</t>
  </si>
  <si>
    <t>16-03-26 21:54</t>
  </si>
  <si>
    <t>№577</t>
  </si>
  <si>
    <t>18-03-26 03:21</t>
  </si>
  <si>
    <t>18-03-26 14:29</t>
  </si>
  <si>
    <t>18-03-26 15:08</t>
  </si>
  <si>
    <t>22-03-26 04:25</t>
  </si>
  <si>
    <t>22-03-26 13:48</t>
  </si>
  <si>
    <t>22-03-26 14:12</t>
  </si>
  <si>
    <t>21-03-26 11:38</t>
  </si>
  <si>
    <t>21-03-26 13:10</t>
  </si>
  <si>
    <t>21-03-26 14:43</t>
  </si>
  <si>
    <t>23-03-26 15:40</t>
  </si>
  <si>
    <t>23-03-26 20:24</t>
  </si>
  <si>
    <t>23-03-26 21:40</t>
  </si>
  <si>
    <t>№581</t>
  </si>
  <si>
    <t>№625</t>
  </si>
  <si>
    <t>24-03-26 06:36</t>
  </si>
  <si>
    <t>№606</t>
  </si>
  <si>
    <t>№29</t>
  </si>
  <si>
    <t>24-03-26 15:21</t>
  </si>
  <si>
    <t>24-03-26 16:48</t>
  </si>
  <si>
    <t>№633</t>
  </si>
  <si>
    <t>26-03-26 10:01</t>
  </si>
  <si>
    <t>26-03-26 12:36</t>
  </si>
  <si>
    <t>26-03-26 13:39</t>
  </si>
  <si>
    <t>№650</t>
  </si>
  <si>
    <t>28-03-26 23:20</t>
  </si>
  <si>
    <t>28-03-26 23:45</t>
  </si>
  <si>
    <t>29-03-26 01:09</t>
  </si>
  <si>
    <t>№665</t>
  </si>
  <si>
    <t>30-03-26 11:50</t>
  </si>
  <si>
    <t>30-03-26 14:01</t>
  </si>
  <si>
    <t>30-03-26 15:01</t>
  </si>
  <si>
    <t>№677</t>
  </si>
  <si>
    <t>Отчёт по пробегам секций локомотивов, времени пребывания локомотивов в эксплуатируемом и неэксплуатируемом парках</t>
  </si>
  <si>
    <t>Дата и время выдачи справки: 2026-04-01 05.06</t>
  </si>
  <si>
    <t>Начало интервала: 2026-02-28 18.00.00</t>
  </si>
  <si>
    <t>Окончание интервала: 2026-03-31 18.00.00</t>
  </si>
  <si>
    <t>Дирекция тяги приписки: Октябрьская</t>
  </si>
  <si>
    <t>Депо приписки: ТЧЭ-21 ВОЛХОВСТРОЙ</t>
  </si>
  <si>
    <t>Вид тяги: электровозы</t>
  </si>
  <si>
    <t>Род службы ТПС: все</t>
  </si>
  <si>
    <t>Группа серий ТПС: все</t>
  </si>
  <si>
    <t>Серия локомотивов: 2ЭС6</t>
  </si>
  <si>
    <t>Номер секции: все</t>
  </si>
  <si>
    <t>Признак секции: все</t>
  </si>
  <si>
    <t>Отчёт по пробегам локомотивов</t>
  </si>
  <si>
    <t>Дирекция</t>
  </si>
  <si>
    <t>Депо</t>
  </si>
  <si>
    <t>Фактический</t>
  </si>
  <si>
    <t>Фактическое время в</t>
  </si>
  <si>
    <t>тяги</t>
  </si>
  <si>
    <t>приписки</t>
  </si>
  <si>
    <t>локомотива</t>
  </si>
  <si>
    <t>секции</t>
  </si>
  <si>
    <t>пробег</t>
  </si>
  <si>
    <t>эксплуатируемом парке, ч</t>
  </si>
  <si>
    <t>неэксплуатируемом парке, ч</t>
  </si>
  <si>
    <t>км</t>
  </si>
  <si>
    <t>ч</t>
  </si>
  <si>
    <t>Итого</t>
  </si>
  <si>
    <t>В том числе в</t>
  </si>
  <si>
    <t>В том числе в ожидании ТО-2, на ТО-2 и экипировке</t>
  </si>
  <si>
    <t>В том числе на</t>
  </si>
  <si>
    <t>рабочем парке</t>
  </si>
  <si>
    <t>ожидании работы</t>
  </si>
  <si>
    <t>плановых ТО, ТР</t>
  </si>
  <si>
    <t>неплановых ремонтах</t>
  </si>
  <si>
    <t>Октябрьская</t>
  </si>
  <si>
    <t>ТЧЭ-21 ВОЛХОВСТРОЙ</t>
  </si>
  <si>
    <t>0730 A</t>
  </si>
  <si>
    <t>0730 Б</t>
  </si>
  <si>
    <t>0731 A</t>
  </si>
  <si>
    <t>0731 Б</t>
  </si>
  <si>
    <t>0732 A</t>
  </si>
  <si>
    <t>0732 Б</t>
  </si>
  <si>
    <t>0733 A</t>
  </si>
  <si>
    <t>0733 Б</t>
  </si>
  <si>
    <t>0734 A</t>
  </si>
  <si>
    <t>0734 Б</t>
  </si>
  <si>
    <t>Эксплуатация</t>
  </si>
  <si>
    <t>Пробег</t>
  </si>
  <si>
    <t>Обслуживание</t>
  </si>
  <si>
    <t>Рекламация</t>
  </si>
  <si>
    <t>Адм.изд.</t>
  </si>
  <si>
    <t>План КГЭ</t>
  </si>
  <si>
    <t>Адм.изд. РЖД раб</t>
  </si>
  <si>
    <t>НР РЖД</t>
  </si>
  <si>
    <t>Адм.изд. РЖД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</si>
</sst>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* #,##0.00\ _₽_-;\-* #,##0.00\ _₽_-;_-* &quot;-&quot;??\ _₽_-;_-@_-"/>
    <numFmt numFmtId="165" formatCode="h:mm;@"/>
    <numFmt numFmtId="166" formatCode="[$-F400]h:mm:ss\ AM/PM"/>
    <numFmt numFmtId="167" formatCode="[$-419]d\-mmm\-yyyy;@"/>
    <numFmt numFmtId="168" formatCode="dd/mm/yy\ h:mm;@"/>
    <numFmt numFmtId="169" formatCode="[$-419]mmmm;@"/>
    <numFmt numFmtId="170" formatCode="_-* #,##0.00_р_._-;\-* #,##0.00_р_._-;_-* &quot;-&quot;??_р_._-;_-@_-"/>
    <numFmt numFmtId="171" formatCode="#,##0.00\ _₽"/>
    <numFmt numFmtId="172" formatCode="0.00000"/>
    <numFmt numFmtId="173" formatCode="_-* #,##0.0000_-;\-* #,##0.0000_-;_-* &quot;-&quot;??_-;_-@_-"/>
    <numFmt numFmtId="174" formatCode="0.000"/>
    <numFmt numFmtId="175" formatCode="#,##0.000"/>
  </numFmts>
  <fonts count="1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Arial"/>
      <family val="2"/>
      <charset val="204"/>
    </font>
    <font>
      <sz val="14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10"/>
      <name val="Arial Cyr"/>
      <charset val="204"/>
    </font>
    <font>
      <sz val="14"/>
      <color rgb="FFFF0000"/>
      <name val="Calibri"/>
      <family val="2"/>
      <scheme val="minor"/>
    </font>
    <font>
      <b/>
      <sz val="14"/>
      <name val="Times New Roman"/>
      <family val="1"/>
      <charset val="204"/>
    </font>
    <font>
      <sz val="14"/>
      <name val="Calibri"/>
      <family val="2"/>
      <scheme val="minor"/>
    </font>
    <font>
      <vertAlign val="superscript"/>
      <sz val="14"/>
      <name val="Times New Roman"/>
      <family val="1"/>
      <charset val="204"/>
    </font>
    <font>
      <sz val="11"/>
      <name val="Calibri"/>
      <family val="2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0" tint="-0.14999847407452621"/>
      <name val="Calibri"/>
      <family val="2"/>
      <scheme val="minor"/>
    </font>
    <font>
      <sz val="11"/>
      <color rgb="FF000000"/>
      <name val="Calibri"/>
      <family val="2"/>
    </font>
    <font>
      <sz val="11"/>
      <color theme="1" tint="0.34998626667073579"/>
      <name val="Calibri"/>
      <family val="2"/>
      <scheme val="minor"/>
    </font>
    <font>
      <sz val="14"/>
      <color theme="1" tint="0.34998626667073579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i/>
      <sz val="12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14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9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4"/>
      <color theme="4" tint="-0.249977111117893"/>
      <name val="Times New Roman"/>
      <family val="1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36"/>
      <color rgb="FFFF0000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4"/>
      <color rgb="FFFF0000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4"/>
      <color theme="4" tint="-0.249977111117893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theme="1"/>
      <name val="Times New Roman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4">
    <xf numFmtId="0" fontId="0" fillId="0" borderId="0"/>
    <xf numFmtId="0" fontId="30" fillId="0" borderId="0"/>
    <xf numFmtId="0" fontId="37" fillId="0" borderId="0"/>
    <xf numFmtId="0" fontId="37" fillId="0" borderId="0"/>
    <xf numFmtId="0" fontId="29" fillId="0" borderId="0"/>
    <xf numFmtId="0" fontId="42" fillId="0" borderId="0"/>
    <xf numFmtId="170" fontId="42" fillId="0" borderId="0" applyFont="0" applyFill="0" applyBorder="0" applyAlignment="0" applyProtection="0"/>
    <xf numFmtId="0" fontId="47" fillId="0" borderId="0"/>
    <xf numFmtId="0" fontId="48" fillId="0" borderId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9" fillId="0" borderId="0" applyBorder="0"/>
    <xf numFmtId="0" fontId="62" fillId="0" borderId="0"/>
    <xf numFmtId="0" fontId="64" fillId="0" borderId="0"/>
    <xf numFmtId="0" fontId="65" fillId="0" borderId="0"/>
    <xf numFmtId="0" fontId="66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4" fillId="0" borderId="0"/>
    <xf numFmtId="0" fontId="75" fillId="0" borderId="0"/>
    <xf numFmtId="0" fontId="76" fillId="0" borderId="0"/>
    <xf numFmtId="0" fontId="77" fillId="0" borderId="0"/>
    <xf numFmtId="0" fontId="78" fillId="0" borderId="0"/>
    <xf numFmtId="0" fontId="79" fillId="0" borderId="0"/>
    <xf numFmtId="0" fontId="81" fillId="0" borderId="0"/>
    <xf numFmtId="43" fontId="82" fillId="0" borderId="0" applyFont="0" applyFill="0" applyBorder="0" applyAlignment="0" applyProtection="0"/>
    <xf numFmtId="0" fontId="86" fillId="0" borderId="0"/>
    <xf numFmtId="0" fontId="87" fillId="0" borderId="0"/>
    <xf numFmtId="0" fontId="90" fillId="0" borderId="0"/>
    <xf numFmtId="0" fontId="91" fillId="0" borderId="0"/>
    <xf numFmtId="0" fontId="93" fillId="0" borderId="0"/>
    <xf numFmtId="0" fontId="94" fillId="0" borderId="0" applyNumberFormat="0" applyFill="0" applyBorder="0" applyAlignment="0" applyProtection="0"/>
    <xf numFmtId="0" fontId="96" fillId="0" borderId="0"/>
    <xf numFmtId="0" fontId="97" fillId="0" borderId="0"/>
    <xf numFmtId="0" fontId="101" fillId="0" borderId="0"/>
    <xf numFmtId="0" fontId="102" fillId="0" borderId="0"/>
    <xf numFmtId="0" fontId="27" fillId="0" borderId="0"/>
    <xf numFmtId="0" fontId="26" fillId="0" borderId="0"/>
    <xf numFmtId="0" fontId="103" fillId="0" borderId="0"/>
    <xf numFmtId="0" fontId="25" fillId="0" borderId="0"/>
    <xf numFmtId="0" fontId="104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05" fillId="0" borderId="0"/>
    <xf numFmtId="0" fontId="19" fillId="0" borderId="0"/>
    <xf numFmtId="0" fontId="18" fillId="0" borderId="0"/>
    <xf numFmtId="0" fontId="17" fillId="0" borderId="0"/>
    <xf numFmtId="0" fontId="106" fillId="0" borderId="0"/>
    <xf numFmtId="0" fontId="107" fillId="0" borderId="0"/>
    <xf numFmtId="0" fontId="16" fillId="0" borderId="0"/>
    <xf numFmtId="0" fontId="108" fillId="0" borderId="0"/>
    <xf numFmtId="0" fontId="15" fillId="0" borderId="0"/>
    <xf numFmtId="0" fontId="109" fillId="0" borderId="0"/>
    <xf numFmtId="0" fontId="14" fillId="0" borderId="0"/>
    <xf numFmtId="0" fontId="110" fillId="0" borderId="0"/>
    <xf numFmtId="0" fontId="13" fillId="0" borderId="0"/>
    <xf numFmtId="0" fontId="111" fillId="0" borderId="0"/>
    <xf numFmtId="0" fontId="12" fillId="0" borderId="0"/>
    <xf numFmtId="0" fontId="11" fillId="0" borderId="0"/>
    <xf numFmtId="0" fontId="112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113" fillId="0" borderId="0"/>
    <xf numFmtId="0" fontId="114" fillId="0" borderId="0"/>
    <xf numFmtId="0" fontId="4" fillId="0" borderId="0"/>
    <xf numFmtId="0" fontId="115" fillId="0" borderId="0"/>
    <xf numFmtId="0" fontId="3" fillId="0" borderId="0"/>
    <xf numFmtId="0" fontId="2" fillId="0" borderId="0"/>
    <xf numFmtId="0" fontId="1" fillId="0" borderId="0"/>
  </cellStyleXfs>
  <cellXfs count="259">
    <xf numFmtId="0" fontId="0" fillId="0" borderId="0" xfId="0"/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2" fillId="0" borderId="0" xfId="0" applyFont="1"/>
    <xf numFmtId="0" fontId="34" fillId="0" borderId="0" xfId="0" applyFont="1"/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2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6" fillId="2" borderId="3" xfId="0" applyFont="1" applyFill="1" applyBorder="1" applyAlignment="1">
      <alignment horizontal="center" vertical="center" wrapText="1"/>
    </xf>
    <xf numFmtId="167" fontId="36" fillId="2" borderId="3" xfId="0" applyNumberFormat="1" applyFont="1" applyFill="1" applyBorder="1" applyAlignment="1">
      <alignment horizontal="center" vertical="center" wrapText="1"/>
    </xf>
    <xf numFmtId="0" fontId="40" fillId="0" borderId="0" xfId="0" applyFont="1"/>
    <xf numFmtId="169" fontId="0" fillId="0" borderId="0" xfId="0" applyNumberFormat="1"/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justify" vertical="center" wrapText="1"/>
    </xf>
    <xf numFmtId="0" fontId="39" fillId="0" borderId="0" xfId="0" applyFont="1" applyAlignment="1">
      <alignment vertical="center"/>
    </xf>
    <xf numFmtId="0" fontId="49" fillId="0" borderId="0" xfId="0" applyFont="1"/>
    <xf numFmtId="169" fontId="58" fillId="0" borderId="0" xfId="0" applyNumberFormat="1" applyFont="1" applyAlignment="1">
      <alignment vertical="top"/>
    </xf>
    <xf numFmtId="0" fontId="58" fillId="0" borderId="0" xfId="0" applyFont="1" applyAlignment="1">
      <alignment vertical="top"/>
    </xf>
    <xf numFmtId="169" fontId="58" fillId="0" borderId="0" xfId="0" applyNumberFormat="1" applyFont="1"/>
    <xf numFmtId="0" fontId="58" fillId="0" borderId="0" xfId="0" applyFont="1"/>
    <xf numFmtId="0" fontId="58" fillId="3" borderId="0" xfId="0" applyFont="1" applyFill="1" applyAlignment="1">
      <alignment vertical="top"/>
    </xf>
    <xf numFmtId="169" fontId="58" fillId="3" borderId="0" xfId="0" applyNumberFormat="1" applyFont="1" applyFill="1"/>
    <xf numFmtId="0" fontId="58" fillId="3" borderId="0" xfId="0" applyFont="1" applyFill="1"/>
    <xf numFmtId="0" fontId="38" fillId="0" borderId="0" xfId="0" applyFont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8" fillId="0" borderId="0" xfId="0" applyFont="1"/>
    <xf numFmtId="0" fontId="38" fillId="0" borderId="1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2" fontId="39" fillId="0" borderId="0" xfId="0" applyNumberFormat="1" applyFont="1" applyAlignment="1">
      <alignment vertical="center"/>
    </xf>
    <xf numFmtId="0" fontId="60" fillId="0" borderId="0" xfId="0" applyFont="1"/>
    <xf numFmtId="169" fontId="60" fillId="0" borderId="0" xfId="0" applyNumberFormat="1" applyFont="1"/>
    <xf numFmtId="49" fontId="61" fillId="3" borderId="0" xfId="2" applyNumberFormat="1" applyFont="1" applyFill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2" fontId="40" fillId="0" borderId="0" xfId="0" applyNumberFormat="1" applyFont="1"/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justify" vertical="center"/>
    </xf>
    <xf numFmtId="0" fontId="45" fillId="0" borderId="0" xfId="0" applyFont="1"/>
    <xf numFmtId="0" fontId="67" fillId="0" borderId="0" xfId="0" applyFont="1" applyAlignment="1">
      <alignment horizontal="justify" vertical="center"/>
    </xf>
    <xf numFmtId="0" fontId="39" fillId="0" borderId="0" xfId="0" applyFont="1" applyAlignment="1">
      <alignment horizontal="justify" vertical="center"/>
    </xf>
    <xf numFmtId="0" fontId="43" fillId="0" borderId="0" xfId="0" applyFont="1"/>
    <xf numFmtId="0" fontId="39" fillId="0" borderId="0" xfId="0" applyFont="1" applyAlignment="1">
      <alignment horizontal="justify" vertical="center" wrapText="1"/>
    </xf>
    <xf numFmtId="0" fontId="38" fillId="0" borderId="1" xfId="0" applyFont="1" applyBorder="1" applyAlignment="1">
      <alignment horizontal="justify" vertical="center" wrapText="1"/>
    </xf>
    <xf numFmtId="3" fontId="73" fillId="0" borderId="0" xfId="0" applyNumberFormat="1" applyFont="1" applyAlignment="1">
      <alignment horizontal="center" vertical="center" wrapText="1"/>
    </xf>
    <xf numFmtId="3" fontId="60" fillId="0" borderId="0" xfId="0" applyNumberFormat="1" applyFont="1"/>
    <xf numFmtId="2" fontId="60" fillId="0" borderId="0" xfId="0" applyNumberFormat="1" applyFont="1"/>
    <xf numFmtId="4" fontId="73" fillId="0" borderId="0" xfId="0" applyNumberFormat="1" applyFont="1" applyAlignment="1">
      <alignment horizontal="center" vertical="center" wrapText="1"/>
    </xf>
    <xf numFmtId="164" fontId="38" fillId="3" borderId="0" xfId="2" applyNumberFormat="1" applyFont="1" applyFill="1" applyAlignment="1">
      <alignment horizontal="center" vertical="center" wrapText="1"/>
    </xf>
    <xf numFmtId="164" fontId="60" fillId="0" borderId="0" xfId="0" applyNumberFormat="1" applyFont="1"/>
    <xf numFmtId="4" fontId="80" fillId="0" borderId="0" xfId="0" applyNumberFormat="1" applyFont="1" applyAlignment="1">
      <alignment horizontal="center" vertical="center" wrapText="1"/>
    </xf>
    <xf numFmtId="0" fontId="83" fillId="0" borderId="0" xfId="0" applyFont="1"/>
    <xf numFmtId="2" fontId="84" fillId="0" borderId="0" xfId="0" applyNumberFormat="1" applyFont="1"/>
    <xf numFmtId="1" fontId="83" fillId="0" borderId="0" xfId="0" applyNumberFormat="1" applyFont="1"/>
    <xf numFmtId="14" fontId="60" fillId="0" borderId="0" xfId="0" applyNumberFormat="1" applyFont="1"/>
    <xf numFmtId="14" fontId="0" fillId="0" borderId="0" xfId="0" applyNumberFormat="1"/>
    <xf numFmtId="0" fontId="88" fillId="0" borderId="0" xfId="0" applyFont="1"/>
    <xf numFmtId="164" fontId="88" fillId="0" borderId="0" xfId="0" applyNumberFormat="1" applyFont="1"/>
    <xf numFmtId="0" fontId="89" fillId="0" borderId="0" xfId="0" applyFont="1" applyAlignment="1">
      <alignment vertical="top"/>
    </xf>
    <xf numFmtId="2" fontId="89" fillId="0" borderId="0" xfId="0" applyNumberFormat="1" applyFont="1" applyAlignment="1">
      <alignment vertical="top"/>
    </xf>
    <xf numFmtId="168" fontId="89" fillId="0" borderId="0" xfId="0" applyNumberFormat="1" applyFont="1" applyAlignment="1">
      <alignment vertical="top"/>
    </xf>
    <xf numFmtId="14" fontId="89" fillId="0" borderId="0" xfId="0" applyNumberFormat="1" applyFont="1" applyAlignment="1">
      <alignment vertical="top"/>
    </xf>
    <xf numFmtId="171" fontId="92" fillId="0" borderId="0" xfId="0" applyNumberFormat="1" applyFont="1" applyAlignment="1">
      <alignment vertical="center"/>
    </xf>
    <xf numFmtId="168" fontId="39" fillId="0" borderId="0" xfId="0" applyNumberFormat="1" applyFont="1" applyAlignment="1">
      <alignment vertical="center"/>
    </xf>
    <xf numFmtId="1" fontId="61" fillId="0" borderId="0" xfId="0" applyNumberFormat="1" applyFont="1" applyAlignment="1">
      <alignment vertical="center"/>
    </xf>
    <xf numFmtId="4" fontId="39" fillId="0" borderId="0" xfId="0" applyNumberFormat="1" applyFont="1" applyAlignment="1">
      <alignment vertical="center"/>
    </xf>
    <xf numFmtId="0" fontId="95" fillId="0" borderId="0" xfId="0" applyFont="1"/>
    <xf numFmtId="173" fontId="39" fillId="0" borderId="0" xfId="33" applyNumberFormat="1" applyFont="1" applyAlignment="1">
      <alignment horizontal="left"/>
    </xf>
    <xf numFmtId="1" fontId="39" fillId="0" borderId="0" xfId="0" applyNumberFormat="1" applyFont="1" applyAlignment="1">
      <alignment horizontal="left" vertical="center"/>
    </xf>
    <xf numFmtId="0" fontId="99" fillId="0" borderId="0" xfId="0" applyFont="1"/>
    <xf numFmtId="0" fontId="100" fillId="0" borderId="0" xfId="0" applyFont="1"/>
    <xf numFmtId="0" fontId="28" fillId="0" borderId="0" xfId="0" applyFont="1"/>
    <xf numFmtId="1" fontId="39" fillId="0" borderId="0" xfId="0" applyNumberFormat="1" applyFont="1" applyAlignment="1">
      <alignment vertical="center"/>
    </xf>
    <xf numFmtId="166" fontId="39" fillId="0" borderId="0" xfId="0" applyNumberFormat="1" applyFont="1" applyAlignment="1">
      <alignment vertical="center"/>
    </xf>
    <xf numFmtId="0" fontId="89" fillId="0" borderId="0" xfId="0" applyFont="1"/>
    <xf numFmtId="0" fontId="39" fillId="0" borderId="0" xfId="0" applyFont="1" applyAlignment="1">
      <alignment horizontal="center" vertical="center"/>
    </xf>
    <xf numFmtId="1" fontId="40" fillId="0" borderId="0" xfId="0" applyNumberFormat="1" applyFont="1" applyAlignment="1">
      <alignment horizontal="left" vertical="center"/>
    </xf>
    <xf numFmtId="1" fontId="39" fillId="0" borderId="0" xfId="0" applyNumberFormat="1" applyFont="1" applyAlignment="1">
      <alignment horizontal="right" vertical="center"/>
    </xf>
    <xf numFmtId="1" fontId="40" fillId="0" borderId="0" xfId="0" applyNumberFormat="1" applyFont="1"/>
    <xf numFmtId="3" fontId="89" fillId="0" borderId="0" xfId="0" applyNumberFormat="1" applyFont="1" applyAlignment="1">
      <alignment vertical="top"/>
    </xf>
    <xf numFmtId="2" fontId="89" fillId="0" borderId="0" xfId="0" applyNumberFormat="1" applyFont="1" applyAlignment="1">
      <alignment horizontal="center" vertical="top"/>
    </xf>
    <xf numFmtId="173" fontId="39" fillId="0" borderId="0" xfId="33" applyNumberFormat="1" applyFont="1" applyAlignment="1">
      <alignment vertical="top"/>
    </xf>
    <xf numFmtId="0" fontId="39" fillId="0" borderId="0" xfId="0" applyFont="1" applyAlignment="1">
      <alignment horizontal="center" vertical="center" wrapText="1"/>
    </xf>
    <xf numFmtId="0" fontId="39" fillId="0" borderId="1" xfId="0" applyFont="1" applyBorder="1" applyAlignment="1">
      <alignment horizontal="justify" vertical="center" wrapText="1"/>
    </xf>
    <xf numFmtId="2" fontId="40" fillId="0" borderId="0" xfId="0" applyNumberFormat="1" applyFont="1" applyAlignment="1">
      <alignment horizontal="left" vertical="center"/>
    </xf>
    <xf numFmtId="174" fontId="39" fillId="0" borderId="0" xfId="0" applyNumberFormat="1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left" vertical="center"/>
    </xf>
    <xf numFmtId="175" fontId="39" fillId="0" borderId="0" xfId="0" applyNumberFormat="1" applyFont="1"/>
    <xf numFmtId="174" fontId="98" fillId="0" borderId="0" xfId="0" applyNumberFormat="1" applyFont="1" applyAlignment="1">
      <alignment horizontal="center" vertical="center"/>
    </xf>
    <xf numFmtId="0" fontId="39" fillId="4" borderId="26" xfId="0" applyFont="1" applyFill="1" applyBorder="1" applyAlignment="1">
      <alignment horizontal="center" vertical="top" wrapText="1"/>
    </xf>
    <xf numFmtId="166" fontId="39" fillId="4" borderId="26" xfId="0" applyNumberFormat="1" applyFont="1" applyFill="1" applyBorder="1" applyAlignment="1">
      <alignment horizontal="center" vertical="top" wrapText="1"/>
    </xf>
    <xf numFmtId="2" fontId="38" fillId="0" borderId="0" xfId="0" applyNumberFormat="1" applyFont="1" applyAlignment="1">
      <alignment vertical="center" wrapText="1"/>
    </xf>
    <xf numFmtId="2" fontId="38" fillId="0" borderId="1" xfId="0" applyNumberFormat="1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9" fillId="4" borderId="3" xfId="0" applyFont="1" applyFill="1" applyBorder="1" applyAlignment="1">
      <alignment horizontal="center" vertical="top" wrapText="1"/>
    </xf>
    <xf numFmtId="166" fontId="39" fillId="4" borderId="3" xfId="0" applyNumberFormat="1" applyFont="1" applyFill="1" applyBorder="1" applyAlignment="1">
      <alignment horizontal="center" vertical="top" wrapText="1"/>
    </xf>
    <xf numFmtId="172" fontId="38" fillId="0" borderId="0" xfId="0" applyNumberFormat="1" applyFont="1" applyAlignment="1">
      <alignment vertical="center"/>
    </xf>
    <xf numFmtId="2" fontId="32" fillId="0" borderId="0" xfId="0" applyNumberFormat="1" applyFont="1"/>
    <xf numFmtId="0" fontId="36" fillId="2" borderId="3" xfId="0" applyFont="1" applyFill="1" applyBorder="1" applyAlignment="1">
      <alignment horizontal="center" vertical="center"/>
    </xf>
    <xf numFmtId="2" fontId="98" fillId="0" borderId="0" xfId="0" applyNumberFormat="1" applyFont="1" applyAlignment="1">
      <alignment vertical="center"/>
    </xf>
    <xf numFmtId="0" fontId="39" fillId="4" borderId="11" xfId="0" applyFont="1" applyFill="1" applyBorder="1" applyAlignment="1">
      <alignment horizontal="center" vertical="top" wrapText="1"/>
    </xf>
    <xf numFmtId="0" fontId="39" fillId="4" borderId="23" xfId="0" applyFont="1" applyFill="1" applyBorder="1" applyAlignment="1">
      <alignment horizontal="center" vertical="top" wrapText="1"/>
    </xf>
    <xf numFmtId="0" fontId="39" fillId="0" borderId="11" xfId="0" applyFont="1" applyBorder="1" applyAlignment="1">
      <alignment horizontal="center" vertical="center"/>
    </xf>
    <xf numFmtId="49" fontId="39" fillId="0" borderId="4" xfId="2" applyNumberFormat="1" applyFont="1" applyBorder="1" applyAlignment="1">
      <alignment horizontal="center" vertical="center" wrapText="1"/>
    </xf>
    <xf numFmtId="2" fontId="39" fillId="0" borderId="11" xfId="39" applyNumberFormat="1" applyFont="1" applyFill="1" applyBorder="1" applyAlignment="1">
      <alignment horizontal="center" vertical="center"/>
    </xf>
    <xf numFmtId="0" fontId="39" fillId="0" borderId="20" xfId="2" applyFont="1" applyBorder="1" applyAlignment="1">
      <alignment horizontal="center" vertical="center"/>
    </xf>
    <xf numFmtId="49" fontId="39" fillId="0" borderId="16" xfId="2" applyNumberFormat="1" applyFont="1" applyBorder="1" applyAlignment="1">
      <alignment horizontal="center" vertical="center" wrapText="1"/>
    </xf>
    <xf numFmtId="0" fontId="39" fillId="0" borderId="3" xfId="39" applyFont="1" applyFill="1" applyBorder="1" applyAlignment="1">
      <alignment horizontal="center" vertical="center" wrapText="1"/>
    </xf>
    <xf numFmtId="0" fontId="39" fillId="0" borderId="24" xfId="39" applyFont="1" applyFill="1" applyBorder="1" applyAlignment="1">
      <alignment horizontal="center" vertical="center" wrapText="1"/>
    </xf>
    <xf numFmtId="0" fontId="39" fillId="0" borderId="24" xfId="2" applyFont="1" applyBorder="1" applyAlignment="1">
      <alignment horizontal="center" vertical="center"/>
    </xf>
    <xf numFmtId="2" fontId="39" fillId="0" borderId="24" xfId="39" applyNumberFormat="1" applyFont="1" applyFill="1" applyBorder="1" applyAlignment="1">
      <alignment horizontal="center" vertical="center"/>
    </xf>
    <xf numFmtId="0" fontId="39" fillId="0" borderId="20" xfId="0" applyFont="1" applyBorder="1" applyAlignment="1">
      <alignment horizontal="center" vertical="top" wrapText="1"/>
    </xf>
    <xf numFmtId="2" fontId="39" fillId="0" borderId="23" xfId="0" applyNumberFormat="1" applyFont="1" applyBorder="1" applyAlignment="1">
      <alignment horizontal="center" vertical="top" wrapText="1"/>
    </xf>
    <xf numFmtId="14" fontId="39" fillId="4" borderId="23" xfId="0" applyNumberFormat="1" applyFont="1" applyFill="1" applyBorder="1" applyAlignment="1">
      <alignment horizontal="center" vertical="top" wrapText="1"/>
    </xf>
    <xf numFmtId="166" fontId="39" fillId="4" borderId="23" xfId="0" applyNumberFormat="1" applyFont="1" applyFill="1" applyBorder="1" applyAlignment="1">
      <alignment horizontal="center" vertical="top" wrapText="1"/>
    </xf>
    <xf numFmtId="0" fontId="39" fillId="0" borderId="25" xfId="0" applyFont="1" applyBorder="1" applyAlignment="1">
      <alignment horizontal="left" vertical="top" wrapText="1"/>
    </xf>
    <xf numFmtId="49" fontId="38" fillId="0" borderId="4" xfId="2" applyNumberFormat="1" applyFont="1" applyBorder="1" applyAlignment="1">
      <alignment horizontal="center" vertical="center" wrapText="1"/>
    </xf>
    <xf numFmtId="0" fontId="38" fillId="0" borderId="11" xfId="0" applyFont="1" applyBorder="1" applyAlignment="1">
      <alignment horizontal="center" vertical="center"/>
    </xf>
    <xf numFmtId="0" fontId="38" fillId="0" borderId="11" xfId="2" applyFont="1" applyBorder="1" applyAlignment="1">
      <alignment horizontal="center" vertical="center"/>
    </xf>
    <xf numFmtId="0" fontId="38" fillId="3" borderId="11" xfId="0" applyFont="1" applyFill="1" applyBorder="1" applyAlignment="1">
      <alignment horizontal="center" vertical="center"/>
    </xf>
    <xf numFmtId="49" fontId="38" fillId="0" borderId="16" xfId="2" applyNumberFormat="1" applyFont="1" applyBorder="1" applyAlignment="1">
      <alignment horizontal="center" vertical="center" wrapText="1"/>
    </xf>
    <xf numFmtId="2" fontId="38" fillId="3" borderId="11" xfId="2" applyNumberFormat="1" applyFont="1" applyFill="1" applyBorder="1" applyAlignment="1">
      <alignment horizontal="center" vertical="center"/>
    </xf>
    <xf numFmtId="2" fontId="38" fillId="3" borderId="11" xfId="0" applyNumberFormat="1" applyFont="1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2" fontId="38" fillId="0" borderId="21" xfId="0" applyNumberFormat="1" applyFont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top" wrapText="1"/>
    </xf>
    <xf numFmtId="2" fontId="63" fillId="0" borderId="5" xfId="0" applyNumberFormat="1" applyFont="1" applyBorder="1" applyAlignment="1">
      <alignment horizontal="center" vertical="center" wrapText="1"/>
    </xf>
    <xf numFmtId="171" fontId="40" fillId="0" borderId="0" xfId="0" applyNumberFormat="1" applyFont="1"/>
    <xf numFmtId="0" fontId="39" fillId="0" borderId="11" xfId="2" applyFont="1" applyBorder="1" applyAlignment="1">
      <alignment horizontal="center" vertical="center"/>
    </xf>
    <xf numFmtId="14" fontId="40" fillId="0" borderId="0" xfId="0" applyNumberFormat="1" applyFont="1"/>
    <xf numFmtId="2" fontId="49" fillId="0" borderId="0" xfId="0" applyNumberFormat="1" applyFont="1" applyAlignment="1">
      <alignment horizontal="center"/>
    </xf>
    <xf numFmtId="0" fontId="38" fillId="4" borderId="11" xfId="0" applyFont="1" applyFill="1" applyBorder="1" applyAlignment="1">
      <alignment horizontal="left" vertical="top"/>
    </xf>
    <xf numFmtId="0" fontId="38" fillId="4" borderId="11" xfId="0" applyFont="1" applyFill="1" applyBorder="1" applyAlignment="1">
      <alignment horizontal="center" vertical="top" wrapText="1"/>
    </xf>
    <xf numFmtId="0" fontId="38" fillId="6" borderId="3" xfId="0" applyFont="1" applyFill="1" applyBorder="1" applyAlignment="1">
      <alignment horizontal="center" vertical="top" wrapText="1"/>
    </xf>
    <xf numFmtId="1" fontId="38" fillId="4" borderId="3" xfId="0" applyNumberFormat="1" applyFont="1" applyFill="1" applyBorder="1" applyAlignment="1">
      <alignment horizontal="center" vertical="top" wrapText="1"/>
    </xf>
    <xf numFmtId="2" fontId="38" fillId="4" borderId="3" xfId="0" applyNumberFormat="1" applyFont="1" applyFill="1" applyBorder="1" applyAlignment="1">
      <alignment horizontal="center" vertical="top" wrapText="1"/>
    </xf>
    <xf numFmtId="2" fontId="38" fillId="0" borderId="10" xfId="0" applyNumberFormat="1" applyFont="1" applyBorder="1" applyAlignment="1">
      <alignment horizontal="center" vertical="center" wrapText="1"/>
    </xf>
    <xf numFmtId="2" fontId="38" fillId="0" borderId="7" xfId="0" applyNumberFormat="1" applyFont="1" applyBorder="1" applyAlignment="1">
      <alignment horizontal="center" vertical="center" wrapText="1"/>
    </xf>
    <xf numFmtId="2" fontId="38" fillId="5" borderId="3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2" fontId="72" fillId="0" borderId="0" xfId="0" applyNumberFormat="1" applyFont="1" applyAlignment="1">
      <alignment vertical="center"/>
    </xf>
    <xf numFmtId="2" fontId="116" fillId="0" borderId="0" xfId="0" applyNumberFormat="1" applyFont="1"/>
    <xf numFmtId="2" fontId="49" fillId="0" borderId="0" xfId="0" applyNumberFormat="1" applyFont="1"/>
    <xf numFmtId="2" fontId="49" fillId="0" borderId="0" xfId="0" applyNumberFormat="1" applyFont="1" applyAlignment="1">
      <alignment vertical="top"/>
    </xf>
    <xf numFmtId="0" fontId="117" fillId="0" borderId="0" xfId="2" applyFont="1" applyAlignment="1">
      <alignment vertical="center"/>
    </xf>
    <xf numFmtId="22" fontId="117" fillId="0" borderId="0" xfId="12" applyNumberFormat="1" applyFont="1" applyAlignment="1">
      <alignment horizontal="left" vertical="center"/>
    </xf>
    <xf numFmtId="0" fontId="117" fillId="0" borderId="0" xfId="0" applyFont="1" applyAlignment="1">
      <alignment horizontal="left" vertical="center"/>
    </xf>
    <xf numFmtId="2" fontId="117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vertical="center"/>
    </xf>
    <xf numFmtId="2" fontId="45" fillId="0" borderId="0" xfId="0" applyNumberFormat="1" applyFont="1"/>
    <xf numFmtId="49" fontId="45" fillId="0" borderId="0" xfId="0" applyNumberFormat="1" applyFont="1"/>
    <xf numFmtId="0" fontId="38" fillId="0" borderId="3" xfId="0" applyFont="1" applyBorder="1"/>
    <xf numFmtId="2" fontId="38" fillId="0" borderId="5" xfId="0" applyNumberFormat="1" applyFont="1" applyBorder="1" applyAlignment="1">
      <alignment horizontal="center" vertical="top" wrapText="1"/>
    </xf>
    <xf numFmtId="0" fontId="38" fillId="0" borderId="25" xfId="0" applyFont="1" applyBorder="1" applyAlignment="1">
      <alignment horizontal="left" vertical="center" wrapText="1"/>
    </xf>
    <xf numFmtId="0" fontId="38" fillId="4" borderId="11" xfId="0" applyFont="1" applyFill="1" applyBorder="1" applyAlignment="1">
      <alignment horizontal="left" vertical="top" wrapText="1"/>
    </xf>
    <xf numFmtId="1" fontId="38" fillId="6" borderId="3" xfId="0" applyNumberFormat="1" applyFont="1" applyFill="1" applyBorder="1" applyAlignment="1">
      <alignment horizontal="center" vertical="top" wrapText="1"/>
    </xf>
    <xf numFmtId="0" fontId="38" fillId="0" borderId="23" xfId="0" applyFont="1" applyBorder="1" applyAlignment="1">
      <alignment horizontal="left" vertical="top" wrapText="1"/>
    </xf>
    <xf numFmtId="2" fontId="38" fillId="0" borderId="23" xfId="0" applyNumberFormat="1" applyFont="1" applyBorder="1" applyAlignment="1">
      <alignment horizontal="center" vertical="top" wrapText="1"/>
    </xf>
    <xf numFmtId="0" fontId="38" fillId="6" borderId="16" xfId="0" applyFont="1" applyFill="1" applyBorder="1" applyAlignment="1">
      <alignment horizontal="center" vertical="top" wrapText="1"/>
    </xf>
    <xf numFmtId="2" fontId="38" fillId="4" borderId="25" xfId="0" applyNumberFormat="1" applyFont="1" applyFill="1" applyBorder="1" applyAlignment="1">
      <alignment horizontal="center" vertical="top" wrapText="1"/>
    </xf>
    <xf numFmtId="2" fontId="116" fillId="3" borderId="5" xfId="0" applyNumberFormat="1" applyFont="1" applyFill="1" applyBorder="1" applyAlignment="1">
      <alignment horizontal="center" vertical="center" wrapText="1"/>
    </xf>
    <xf numFmtId="2" fontId="38" fillId="0" borderId="9" xfId="0" applyNumberFormat="1" applyFont="1" applyBorder="1" applyAlignment="1">
      <alignment horizontal="center" vertical="center" wrapText="1"/>
    </xf>
    <xf numFmtId="2" fontId="38" fillId="4" borderId="11" xfId="0" applyNumberFormat="1" applyFont="1" applyFill="1" applyBorder="1" applyAlignment="1">
      <alignment horizontal="center" vertical="center" wrapText="1"/>
    </xf>
    <xf numFmtId="0" fontId="38" fillId="4" borderId="11" xfId="0" applyFont="1" applyFill="1" applyBorder="1" applyAlignment="1">
      <alignment horizontal="left" vertical="center"/>
    </xf>
    <xf numFmtId="0" fontId="38" fillId="4" borderId="11" xfId="0" applyFont="1" applyFill="1" applyBorder="1" applyAlignment="1">
      <alignment vertical="center" wrapText="1"/>
    </xf>
    <xf numFmtId="0" fontId="38" fillId="6" borderId="3" xfId="0" applyFont="1" applyFill="1" applyBorder="1" applyAlignment="1">
      <alignment horizontal="center" vertical="center" wrapText="1"/>
    </xf>
    <xf numFmtId="2" fontId="38" fillId="4" borderId="17" xfId="0" applyNumberFormat="1" applyFont="1" applyFill="1" applyBorder="1" applyAlignment="1">
      <alignment horizontal="center" vertical="top" wrapText="1"/>
    </xf>
    <xf numFmtId="0" fontId="38" fillId="4" borderId="11" xfId="0" applyFont="1" applyFill="1" applyBorder="1" applyAlignment="1">
      <alignment horizontal="center" vertical="center" wrapText="1"/>
    </xf>
    <xf numFmtId="166" fontId="38" fillId="4" borderId="11" xfId="0" applyNumberFormat="1" applyFont="1" applyFill="1" applyBorder="1" applyAlignment="1">
      <alignment horizontal="center" vertical="center" wrapText="1"/>
    </xf>
    <xf numFmtId="0" fontId="44" fillId="4" borderId="11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vertical="center"/>
    </xf>
    <xf numFmtId="1" fontId="38" fillId="5" borderId="3" xfId="0" applyNumberFormat="1" applyFont="1" applyFill="1" applyBorder="1" applyAlignment="1">
      <alignment horizontal="center" vertical="center" wrapText="1"/>
    </xf>
    <xf numFmtId="14" fontId="38" fillId="5" borderId="3" xfId="0" applyNumberFormat="1" applyFont="1" applyFill="1" applyBorder="1" applyAlignment="1">
      <alignment horizontal="center" wrapText="1"/>
    </xf>
    <xf numFmtId="166" fontId="38" fillId="5" borderId="3" xfId="0" applyNumberFormat="1" applyFont="1" applyFill="1" applyBorder="1" applyAlignment="1">
      <alignment horizontal="center" wrapText="1"/>
    </xf>
    <xf numFmtId="0" fontId="38" fillId="5" borderId="3" xfId="0" applyFont="1" applyFill="1" applyBorder="1" applyAlignment="1">
      <alignment horizontal="center" wrapText="1"/>
    </xf>
    <xf numFmtId="0" fontId="38" fillId="0" borderId="20" xfId="0" applyFont="1" applyBorder="1" applyAlignment="1">
      <alignment horizontal="left" vertical="top"/>
    </xf>
    <xf numFmtId="0" fontId="38" fillId="4" borderId="17" xfId="0" applyFont="1" applyFill="1" applyBorder="1" applyAlignment="1">
      <alignment horizontal="center" vertical="top" wrapText="1"/>
    </xf>
    <xf numFmtId="0" fontId="38" fillId="6" borderId="17" xfId="0" applyFont="1" applyFill="1" applyBorder="1" applyAlignment="1">
      <alignment horizontal="center" vertical="top" wrapText="1"/>
    </xf>
    <xf numFmtId="1" fontId="38" fillId="4" borderId="17" xfId="0" applyNumberFormat="1" applyFont="1" applyFill="1" applyBorder="1" applyAlignment="1">
      <alignment horizontal="center" vertical="top" wrapText="1"/>
    </xf>
    <xf numFmtId="0" fontId="38" fillId="0" borderId="25" xfId="0" applyFont="1" applyBorder="1" applyAlignment="1">
      <alignment horizontal="left" vertical="top"/>
    </xf>
    <xf numFmtId="0" fontId="38" fillId="0" borderId="11" xfId="0" applyFont="1" applyBorder="1" applyAlignment="1">
      <alignment horizontal="left" vertical="top" wrapText="1"/>
    </xf>
    <xf numFmtId="14" fontId="39" fillId="4" borderId="25" xfId="0" applyNumberFormat="1" applyFont="1" applyFill="1" applyBorder="1" applyAlignment="1">
      <alignment horizontal="center" vertical="top" wrapText="1"/>
    </xf>
    <xf numFmtId="166" fontId="39" fillId="4" borderId="25" xfId="0" applyNumberFormat="1" applyFont="1" applyFill="1" applyBorder="1" applyAlignment="1">
      <alignment horizontal="center" vertical="top" wrapText="1"/>
    </xf>
    <xf numFmtId="14" fontId="116" fillId="0" borderId="5" xfId="0" applyNumberFormat="1" applyFont="1" applyBorder="1" applyAlignment="1">
      <alignment horizontal="center" vertical="center" wrapText="1"/>
    </xf>
    <xf numFmtId="2" fontId="38" fillId="0" borderId="6" xfId="0" applyNumberFormat="1" applyFont="1" applyBorder="1" applyAlignment="1">
      <alignment horizontal="center" vertical="top" wrapText="1"/>
    </xf>
    <xf numFmtId="2" fontId="38" fillId="0" borderId="19" xfId="0" applyNumberFormat="1" applyFont="1" applyBorder="1" applyAlignment="1">
      <alignment horizontal="center" vertical="top" wrapText="1"/>
    </xf>
    <xf numFmtId="2" fontId="38" fillId="4" borderId="24" xfId="0" applyNumberFormat="1" applyFont="1" applyFill="1" applyBorder="1" applyAlignment="1">
      <alignment horizontal="center" vertical="top" wrapText="1"/>
    </xf>
    <xf numFmtId="0" fontId="38" fillId="0" borderId="16" xfId="0" applyFont="1" applyBorder="1" applyAlignment="1">
      <alignment horizontal="left" vertical="top"/>
    </xf>
    <xf numFmtId="165" fontId="38" fillId="0" borderId="20" xfId="0" applyNumberFormat="1" applyFont="1" applyBorder="1" applyAlignment="1">
      <alignment horizontal="center" vertical="top" wrapText="1"/>
    </xf>
    <xf numFmtId="0" fontId="38" fillId="0" borderId="11" xfId="0" applyFont="1" applyBorder="1" applyAlignment="1">
      <alignment horizontal="center" vertical="top" wrapText="1"/>
    </xf>
    <xf numFmtId="2" fontId="38" fillId="0" borderId="20" xfId="0" applyNumberFormat="1" applyFont="1" applyBorder="1" applyAlignment="1">
      <alignment horizontal="center" vertical="top" wrapText="1"/>
    </xf>
    <xf numFmtId="2" fontId="38" fillId="0" borderId="3" xfId="0" applyNumberFormat="1" applyFont="1" applyBorder="1" applyAlignment="1">
      <alignment horizontal="center" vertical="top" wrapText="1"/>
    </xf>
    <xf numFmtId="2" fontId="38" fillId="0" borderId="23" xfId="0" applyNumberFormat="1" applyFont="1" applyBorder="1" applyAlignment="1">
      <alignment horizontal="center" vertical="center"/>
    </xf>
    <xf numFmtId="2" fontId="38" fillId="0" borderId="8" xfId="0" applyNumberFormat="1" applyFont="1" applyBorder="1" applyAlignment="1">
      <alignment horizontal="center" vertical="top" wrapText="1"/>
    </xf>
    <xf numFmtId="2" fontId="38" fillId="4" borderId="26" xfId="0" applyNumberFormat="1" applyFont="1" applyFill="1" applyBorder="1" applyAlignment="1">
      <alignment horizontal="center" vertical="top" wrapText="1"/>
    </xf>
    <xf numFmtId="0" fontId="38" fillId="0" borderId="20" xfId="0" applyFont="1" applyBorder="1" applyAlignment="1">
      <alignment horizontal="left" vertical="center"/>
    </xf>
    <xf numFmtId="0" fontId="38" fillId="0" borderId="24" xfId="0" applyFont="1" applyBorder="1" applyAlignment="1">
      <alignment horizontal="left" vertical="center" wrapText="1"/>
    </xf>
    <xf numFmtId="0" fontId="39" fillId="0" borderId="20" xfId="0" applyFont="1" applyBorder="1" applyAlignment="1">
      <alignment horizontal="left" vertical="top" wrapText="1"/>
    </xf>
    <xf numFmtId="0" fontId="38" fillId="0" borderId="20" xfId="0" applyFont="1" applyBorder="1" applyAlignment="1">
      <alignment horizontal="left" vertical="top" wrapText="1"/>
    </xf>
    <xf numFmtId="0" fontId="38" fillId="0" borderId="20" xfId="0" applyFont="1" applyBorder="1" applyAlignment="1">
      <alignment horizontal="center" vertical="top" wrapText="1"/>
    </xf>
    <xf numFmtId="2" fontId="38" fillId="4" borderId="23" xfId="0" applyNumberFormat="1" applyFont="1" applyFill="1" applyBorder="1" applyAlignment="1">
      <alignment horizontal="center" vertical="top" wrapText="1"/>
    </xf>
    <xf numFmtId="0" fontId="38" fillId="0" borderId="24" xfId="0" applyFont="1" applyBorder="1" applyAlignment="1">
      <alignment horizontal="center" vertical="top" wrapText="1"/>
    </xf>
    <xf numFmtId="0" fontId="38" fillId="0" borderId="3" xfId="39" applyFont="1" applyFill="1" applyBorder="1" applyAlignment="1">
      <alignment horizontal="center" vertical="center" wrapText="1"/>
    </xf>
    <xf numFmtId="2" fontId="38" fillId="0" borderId="11" xfId="39" applyNumberFormat="1" applyFont="1" applyFill="1" applyBorder="1" applyAlignment="1">
      <alignment horizontal="center" vertical="center"/>
    </xf>
    <xf numFmtId="0" fontId="38" fillId="0" borderId="20" xfId="2" applyFont="1" applyBorder="1" applyAlignment="1">
      <alignment horizontal="center" vertical="center"/>
    </xf>
    <xf numFmtId="0" fontId="38" fillId="0" borderId="20" xfId="0" applyFont="1" applyBorder="1" applyAlignment="1">
      <alignment horizontal="left" vertical="center" wrapText="1"/>
    </xf>
    <xf numFmtId="0" fontId="1" fillId="0" borderId="0" xfId="83"/>
    <xf numFmtId="0" fontId="118" fillId="0" borderId="30" xfId="83" applyFont="1" applyBorder="1" applyAlignment="1">
      <alignment horizontal="center" vertical="center" wrapText="1"/>
    </xf>
    <xf numFmtId="0" fontId="118" fillId="0" borderId="34" xfId="83" applyFont="1" applyBorder="1" applyAlignment="1">
      <alignment horizontal="center" vertical="center" wrapText="1"/>
    </xf>
    <xf numFmtId="0" fontId="118" fillId="0" borderId="38" xfId="83" applyFont="1" applyBorder="1" applyAlignment="1">
      <alignment horizontal="center" vertical="center" wrapText="1"/>
    </xf>
    <xf numFmtId="0" fontId="118" fillId="0" borderId="39" xfId="83" applyFont="1" applyBorder="1" applyAlignment="1">
      <alignment horizontal="center" vertical="center" wrapText="1"/>
    </xf>
    <xf numFmtId="0" fontId="1" fillId="0" borderId="39" xfId="83" applyBorder="1" applyAlignment="1">
      <alignment wrapText="1"/>
    </xf>
    <xf numFmtId="1" fontId="1" fillId="0" borderId="0" xfId="83" applyNumberFormat="1"/>
    <xf numFmtId="165" fontId="120" fillId="0" borderId="0" xfId="0" applyNumberFormat="1" applyFont="1" applyAlignment="1">
      <alignment vertical="top"/>
    </xf>
    <xf numFmtId="2" fontId="120" fillId="0" borderId="0" xfId="0" applyNumberFormat="1" applyFont="1" applyAlignment="1">
      <alignment vertical="top"/>
    </xf>
    <xf numFmtId="0" fontId="120" fillId="0" borderId="0" xfId="0" applyFont="1" applyAlignment="1">
      <alignment vertical="top"/>
    </xf>
    <xf numFmtId="174" fontId="120" fillId="0" borderId="0" xfId="0" applyNumberFormat="1" applyFont="1" applyAlignment="1">
      <alignment vertical="top"/>
    </xf>
    <xf numFmtId="2" fontId="40" fillId="0" borderId="0" xfId="0" applyNumberFormat="1" applyFont="1" applyAlignment="1">
      <alignment vertical="top"/>
    </xf>
    <xf numFmtId="165" fontId="89" fillId="0" borderId="0" xfId="0" applyNumberFormat="1" applyFont="1" applyAlignment="1">
      <alignment vertical="top"/>
    </xf>
    <xf numFmtId="0" fontId="44" fillId="0" borderId="0" xfId="0" applyFont="1" applyAlignment="1">
      <alignment horizontal="center" vertical="center"/>
    </xf>
    <xf numFmtId="0" fontId="32" fillId="0" borderId="0" xfId="0" applyFont="1" applyAlignment="1">
      <alignment horizontal="justify" vertic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/>
    <xf numFmtId="0" fontId="38" fillId="0" borderId="13" xfId="0" applyFont="1" applyBorder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left" vertical="center" wrapText="1"/>
    </xf>
    <xf numFmtId="0" fontId="39" fillId="3" borderId="25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2" fillId="0" borderId="0" xfId="0" applyFont="1" applyAlignment="1">
      <alignment horizontal="left" vertical="center"/>
    </xf>
    <xf numFmtId="0" fontId="38" fillId="0" borderId="14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2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3" borderId="14" xfId="0" applyFont="1" applyFill="1" applyBorder="1" applyAlignment="1">
      <alignment horizontal="center" vertical="center"/>
    </xf>
    <xf numFmtId="0" fontId="38" fillId="3" borderId="12" xfId="0" applyFont="1" applyFill="1" applyBorder="1" applyAlignment="1">
      <alignment horizontal="center" vertical="center"/>
    </xf>
    <xf numFmtId="0" fontId="38" fillId="3" borderId="15" xfId="0" applyFont="1" applyFill="1" applyBorder="1" applyAlignment="1">
      <alignment horizontal="center" vertical="center"/>
    </xf>
    <xf numFmtId="0" fontId="119" fillId="0" borderId="0" xfId="83" applyFont="1" applyAlignment="1">
      <alignment horizontal="left" wrapText="1"/>
    </xf>
    <xf numFmtId="0" fontId="119" fillId="0" borderId="0" xfId="83" applyFont="1" applyAlignment="1">
      <alignment horizontal="center" wrapText="1"/>
    </xf>
    <xf numFmtId="0" fontId="118" fillId="0" borderId="35" xfId="83" applyFont="1" applyBorder="1" applyAlignment="1">
      <alignment horizontal="center" vertical="center" wrapText="1"/>
    </xf>
    <xf numFmtId="0" fontId="118" fillId="0" borderId="36" xfId="83" applyFont="1" applyBorder="1" applyAlignment="1">
      <alignment horizontal="center" vertical="center" wrapText="1"/>
    </xf>
    <xf numFmtId="0" fontId="118" fillId="0" borderId="37" xfId="83" applyFont="1" applyBorder="1" applyAlignment="1">
      <alignment horizontal="center" vertical="center" wrapText="1"/>
    </xf>
    <xf numFmtId="0" fontId="118" fillId="0" borderId="27" xfId="83" applyFont="1" applyBorder="1" applyAlignment="1">
      <alignment horizontal="center" vertical="center" wrapText="1"/>
    </xf>
    <xf numFmtId="0" fontId="118" fillId="0" borderId="28" xfId="83" applyFont="1" applyBorder="1" applyAlignment="1">
      <alignment horizontal="center" vertical="center" wrapText="1"/>
    </xf>
    <xf numFmtId="0" fontId="118" fillId="0" borderId="29" xfId="83" applyFont="1" applyBorder="1" applyAlignment="1">
      <alignment horizontal="center" vertical="center" wrapText="1"/>
    </xf>
    <xf numFmtId="0" fontId="118" fillId="0" borderId="31" xfId="83" applyFont="1" applyBorder="1" applyAlignment="1">
      <alignment horizontal="center" vertical="center" wrapText="1"/>
    </xf>
    <xf numFmtId="0" fontId="118" fillId="0" borderId="32" xfId="83" applyFont="1" applyBorder="1" applyAlignment="1">
      <alignment horizontal="center" vertical="center" wrapText="1"/>
    </xf>
    <xf numFmtId="0" fontId="118" fillId="0" borderId="33" xfId="83" applyFont="1" applyBorder="1" applyAlignment="1">
      <alignment horizontal="center" vertical="center" wrapText="1"/>
    </xf>
    <xf numFmtId="0" fontId="118" fillId="0" borderId="30" xfId="83" applyFont="1" applyBorder="1" applyAlignment="1">
      <alignment horizontal="center" vertical="center" wrapText="1"/>
    </xf>
    <xf numFmtId="0" fontId="118" fillId="0" borderId="38" xfId="83" applyFont="1" applyBorder="1" applyAlignment="1">
      <alignment horizontal="center" vertical="center" wrapText="1"/>
    </xf>
  </cellXfs>
  <cellStyles count="84">
    <cellStyle name="Гиперссылка" xfId="39" builtinId="8"/>
    <cellStyle name="Обычный" xfId="0" builtinId="0"/>
    <cellStyle name="Обычный 10" xfId="10" xr:uid="{00000000-0005-0000-0000-000002000000}"/>
    <cellStyle name="Обычный 11" xfId="11" xr:uid="{00000000-0005-0000-0000-000003000000}"/>
    <cellStyle name="Обычный 12" xfId="12" xr:uid="{00000000-0005-0000-0000-000004000000}"/>
    <cellStyle name="Обычный 13" xfId="13" xr:uid="{00000000-0005-0000-0000-000005000000}"/>
    <cellStyle name="Обычный 14" xfId="14" xr:uid="{00000000-0005-0000-0000-000006000000}"/>
    <cellStyle name="Обычный 14 2" xfId="28" xr:uid="{00000000-0005-0000-0000-000007000000}"/>
    <cellStyle name="Обычный 15" xfId="15" xr:uid="{00000000-0005-0000-0000-000008000000}"/>
    <cellStyle name="Обычный 16" xfId="16" xr:uid="{00000000-0005-0000-0000-000009000000}"/>
    <cellStyle name="Обычный 17" xfId="17" xr:uid="{00000000-0005-0000-0000-00000A000000}"/>
    <cellStyle name="Обычный 18" xfId="18" xr:uid="{00000000-0005-0000-0000-00000B000000}"/>
    <cellStyle name="Обычный 19" xfId="19" xr:uid="{00000000-0005-0000-0000-00000C000000}"/>
    <cellStyle name="Обычный 2" xfId="2" xr:uid="{00000000-0005-0000-0000-00000D000000}"/>
    <cellStyle name="Обычный 20" xfId="20" xr:uid="{00000000-0005-0000-0000-00000E000000}"/>
    <cellStyle name="Обычный 21" xfId="21" xr:uid="{00000000-0005-0000-0000-00000F000000}"/>
    <cellStyle name="Обычный 22" xfId="22" xr:uid="{00000000-0005-0000-0000-000010000000}"/>
    <cellStyle name="Обычный 23" xfId="23" xr:uid="{00000000-0005-0000-0000-000011000000}"/>
    <cellStyle name="Обычный 24" xfId="24" xr:uid="{00000000-0005-0000-0000-000012000000}"/>
    <cellStyle name="Обычный 25" xfId="25" xr:uid="{00000000-0005-0000-0000-000013000000}"/>
    <cellStyle name="Обычный 26" xfId="26" xr:uid="{00000000-0005-0000-0000-000014000000}"/>
    <cellStyle name="Обычный 27" xfId="27" xr:uid="{00000000-0005-0000-0000-000015000000}"/>
    <cellStyle name="Обычный 28" xfId="29" xr:uid="{00000000-0005-0000-0000-000016000000}"/>
    <cellStyle name="Обычный 29" xfId="30" xr:uid="{00000000-0005-0000-0000-000017000000}"/>
    <cellStyle name="Обычный 3" xfId="1" xr:uid="{00000000-0005-0000-0000-000018000000}"/>
    <cellStyle name="Обычный 30" xfId="31" xr:uid="{00000000-0005-0000-0000-000019000000}"/>
    <cellStyle name="Обычный 31" xfId="32" xr:uid="{00000000-0005-0000-0000-00001A000000}"/>
    <cellStyle name="Обычный 32" xfId="34" xr:uid="{00000000-0005-0000-0000-00001B000000}"/>
    <cellStyle name="Обычный 33" xfId="35" xr:uid="{00000000-0005-0000-0000-00001C000000}"/>
    <cellStyle name="Обычный 34" xfId="36" xr:uid="{00000000-0005-0000-0000-00001D000000}"/>
    <cellStyle name="Обычный 35" xfId="37" xr:uid="{00000000-0005-0000-0000-00001E000000}"/>
    <cellStyle name="Обычный 36" xfId="38" xr:uid="{00000000-0005-0000-0000-00001F000000}"/>
    <cellStyle name="Обычный 37" xfId="40" xr:uid="{00000000-0005-0000-0000-000020000000}"/>
    <cellStyle name="Обычный 38" xfId="41" xr:uid="{00000000-0005-0000-0000-000021000000}"/>
    <cellStyle name="Обычный 39" xfId="42" xr:uid="{00000000-0005-0000-0000-000022000000}"/>
    <cellStyle name="Обычный 4" xfId="4" xr:uid="{00000000-0005-0000-0000-000023000000}"/>
    <cellStyle name="Обычный 40" xfId="43" xr:uid="{00000000-0005-0000-0000-000024000000}"/>
    <cellStyle name="Обычный 41" xfId="44" xr:uid="{00000000-0005-0000-0000-000025000000}"/>
    <cellStyle name="Обычный 42" xfId="45" xr:uid="{00000000-0005-0000-0000-000026000000}"/>
    <cellStyle name="Обычный 43" xfId="46" xr:uid="{00000000-0005-0000-0000-000027000000}"/>
    <cellStyle name="Обычный 44" xfId="47" xr:uid="{00000000-0005-0000-0000-000028000000}"/>
    <cellStyle name="Обычный 45" xfId="48" xr:uid="{00000000-0005-0000-0000-000029000000}"/>
    <cellStyle name="Обычный 46" xfId="49" xr:uid="{00000000-0005-0000-0000-00002A000000}"/>
    <cellStyle name="Обычный 47" xfId="50" xr:uid="{00000000-0005-0000-0000-00002B000000}"/>
    <cellStyle name="Обычный 48" xfId="51" xr:uid="{00000000-0005-0000-0000-00002C000000}"/>
    <cellStyle name="Обычный 49" xfId="52" xr:uid="{00000000-0005-0000-0000-00002D000000}"/>
    <cellStyle name="Обычный 5" xfId="3" xr:uid="{00000000-0005-0000-0000-00002E000000}"/>
    <cellStyle name="Обычный 50" xfId="53" xr:uid="{00000000-0005-0000-0000-00002F000000}"/>
    <cellStyle name="Обычный 51" xfId="54" xr:uid="{00000000-0005-0000-0000-000030000000}"/>
    <cellStyle name="Обычный 52" xfId="55" xr:uid="{00000000-0005-0000-0000-000031000000}"/>
    <cellStyle name="Обычный 53" xfId="56" xr:uid="{00000000-0005-0000-0000-000032000000}"/>
    <cellStyle name="Обычный 54" xfId="57" xr:uid="{00000000-0005-0000-0000-000033000000}"/>
    <cellStyle name="Обычный 55" xfId="58" xr:uid="{00000000-0005-0000-0000-000034000000}"/>
    <cellStyle name="Обычный 56" xfId="59" xr:uid="{00000000-0005-0000-0000-000035000000}"/>
    <cellStyle name="Обычный 57" xfId="60" xr:uid="{00000000-0005-0000-0000-000036000000}"/>
    <cellStyle name="Обычный 58" xfId="61" xr:uid="{00000000-0005-0000-0000-000037000000}"/>
    <cellStyle name="Обычный 59" xfId="62" xr:uid="{00000000-0005-0000-0000-000038000000}"/>
    <cellStyle name="Обычный 6" xfId="7" xr:uid="{00000000-0005-0000-0000-000039000000}"/>
    <cellStyle name="Обычный 60" xfId="63" xr:uid="{00000000-0005-0000-0000-00003A000000}"/>
    <cellStyle name="Обычный 61" xfId="64" xr:uid="{00000000-0005-0000-0000-00003B000000}"/>
    <cellStyle name="Обычный 62" xfId="65" xr:uid="{00000000-0005-0000-0000-00003C000000}"/>
    <cellStyle name="Обычный 63" xfId="66" xr:uid="{00000000-0005-0000-0000-00003D000000}"/>
    <cellStyle name="Обычный 64" xfId="67" xr:uid="{00000000-0005-0000-0000-00003E000000}"/>
    <cellStyle name="Обычный 65" xfId="68" xr:uid="{00000000-0005-0000-0000-00003F000000}"/>
    <cellStyle name="Обычный 66" xfId="69" xr:uid="{00000000-0005-0000-0000-000040000000}"/>
    <cellStyle name="Обычный 67" xfId="70" xr:uid="{00000000-0005-0000-0000-000041000000}"/>
    <cellStyle name="Обычный 68" xfId="71" xr:uid="{00000000-0005-0000-0000-000042000000}"/>
    <cellStyle name="Обычный 69" xfId="72" xr:uid="{00000000-0005-0000-0000-000043000000}"/>
    <cellStyle name="Обычный 7" xfId="5" xr:uid="{00000000-0005-0000-0000-000044000000}"/>
    <cellStyle name="Обычный 70" xfId="73" xr:uid="{00000000-0005-0000-0000-000045000000}"/>
    <cellStyle name="Обычный 71" xfId="74" xr:uid="{00000000-0005-0000-0000-000046000000}"/>
    <cellStyle name="Обычный 72" xfId="75" xr:uid="{00000000-0005-0000-0000-000047000000}"/>
    <cellStyle name="Обычный 73" xfId="76" xr:uid="{00000000-0005-0000-0000-000048000000}"/>
    <cellStyle name="Обычный 74" xfId="77" xr:uid="{00000000-0005-0000-0000-000049000000}"/>
    <cellStyle name="Обычный 75" xfId="78" xr:uid="{00000000-0005-0000-0000-00004A000000}"/>
    <cellStyle name="Обычный 76" xfId="79" xr:uid="{00000000-0005-0000-0000-00004B000000}"/>
    <cellStyle name="Обычный 77" xfId="80" xr:uid="{00000000-0005-0000-0000-00004C000000}"/>
    <cellStyle name="Обычный 78" xfId="81" xr:uid="{00000000-0005-0000-0000-00004D000000}"/>
    <cellStyle name="Обычный 79" xfId="82" xr:uid="{00000000-0005-0000-0000-00004E000000}"/>
    <cellStyle name="Обычный 8" xfId="8" xr:uid="{00000000-0005-0000-0000-00004F000000}"/>
    <cellStyle name="Обычный 80" xfId="83" xr:uid="{00000000-0005-0000-0000-000050000000}"/>
    <cellStyle name="Обычный 9" xfId="9" xr:uid="{00000000-0005-0000-0000-000051000000}"/>
    <cellStyle name="Финансовый" xfId="33" builtinId="3"/>
    <cellStyle name="Финансовый 2" xfId="6" xr:uid="{00000000-0005-0000-0000-00005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F0"/>
    <pageSetUpPr fitToPage="1"/>
  </sheetPr>
  <dimension ref="A1:AC85"/>
  <sheetViews>
    <sheetView tabSelected="1" view="pageBreakPreview" zoomScale="85" zoomScaleNormal="60" zoomScaleSheetLayoutView="85" workbookViewId="0">
      <selection activeCell="H53" sqref="H53:I54"/>
    </sheetView>
  </sheetViews>
  <sheetFormatPr baseColWidth="10" defaultColWidth="8.83203125" defaultRowHeight="15"/>
  <cols>
    <col min="1" max="1" width="16.83203125" customWidth="1"/>
    <col min="2" max="2" width="18.5" customWidth="1"/>
    <col min="3" max="3" width="25.5" customWidth="1"/>
    <col min="4" max="4" width="28.5" customWidth="1"/>
    <col min="5" max="5" width="22.33203125" customWidth="1"/>
    <col min="6" max="6" width="15.6640625" customWidth="1"/>
    <col min="7" max="7" width="16.6640625" style="19" customWidth="1"/>
    <col min="8" max="8" width="16.5" style="19" customWidth="1"/>
    <col min="9" max="9" width="15" style="73" customWidth="1"/>
    <col min="10" max="10" width="15.33203125" customWidth="1"/>
    <col min="11" max="11" width="16.5" customWidth="1"/>
    <col min="12" max="12" width="16.83203125" style="19" customWidth="1"/>
    <col min="13" max="13" width="20.83203125" customWidth="1"/>
    <col min="14" max="15" width="20" customWidth="1"/>
    <col min="16" max="16" width="24" customWidth="1"/>
    <col min="17" max="17" width="19.1640625" style="58" customWidth="1"/>
    <col min="18" max="18" width="22.5" customWidth="1"/>
    <col min="19" max="19" width="31.83203125" customWidth="1"/>
    <col min="20" max="20" width="21.5" customWidth="1"/>
    <col min="21" max="21" width="41.1640625" customWidth="1"/>
    <col min="22" max="22" width="13.83203125" customWidth="1"/>
    <col min="23" max="23" width="12.5" bestFit="1" customWidth="1"/>
    <col min="24" max="24" width="13.83203125" bestFit="1" customWidth="1"/>
    <col min="25" max="25" width="12.5" bestFit="1" customWidth="1"/>
    <col min="26" max="26" width="13.83203125" bestFit="1" customWidth="1"/>
    <col min="29" max="29" width="10.33203125" bestFit="1" customWidth="1"/>
  </cols>
  <sheetData>
    <row r="1" spans="1:29" ht="18">
      <c r="A1" s="222"/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1"/>
      <c r="O1" s="1"/>
    </row>
    <row r="2" spans="1:29" ht="18">
      <c r="A2" s="223"/>
      <c r="B2" s="223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"/>
      <c r="O2" s="2"/>
      <c r="T2" s="15"/>
      <c r="V2" s="15"/>
    </row>
    <row r="3" spans="1:29" ht="18">
      <c r="A3" s="3"/>
      <c r="B3" s="3"/>
      <c r="C3" s="225"/>
      <c r="D3" s="225"/>
      <c r="E3" s="3"/>
      <c r="F3" s="3"/>
      <c r="G3" s="225"/>
      <c r="H3" s="225"/>
      <c r="I3" s="3"/>
      <c r="J3" s="3"/>
      <c r="K3" s="3"/>
      <c r="L3" s="29"/>
      <c r="M3" s="3"/>
      <c r="N3" s="4"/>
      <c r="O3" s="4"/>
      <c r="P3" s="33"/>
      <c r="R3" s="33"/>
      <c r="S3" s="33"/>
      <c r="T3" s="33"/>
      <c r="U3" s="33"/>
      <c r="V3" s="34"/>
      <c r="W3" s="33"/>
      <c r="X3" s="33"/>
      <c r="Y3" s="33"/>
      <c r="Z3" s="33"/>
      <c r="AA3" s="33"/>
    </row>
    <row r="4" spans="1:29" ht="18">
      <c r="A4" s="223"/>
      <c r="B4" s="223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"/>
      <c r="O4" s="2"/>
      <c r="P4" s="50"/>
      <c r="Q4" s="59"/>
      <c r="R4" s="33"/>
      <c r="S4" s="33"/>
      <c r="T4" s="33"/>
      <c r="U4" s="33"/>
      <c r="V4" s="34"/>
      <c r="W4" s="33"/>
      <c r="X4" s="33"/>
      <c r="Y4" s="33"/>
      <c r="Z4" s="33"/>
      <c r="AA4" s="33"/>
    </row>
    <row r="5" spans="1:29" ht="18">
      <c r="A5" s="3"/>
      <c r="B5" s="3"/>
      <c r="C5" s="225"/>
      <c r="D5" s="225"/>
      <c r="E5" s="3"/>
      <c r="F5" s="3"/>
      <c r="G5" s="225"/>
      <c r="H5" s="225"/>
      <c r="I5" s="3"/>
      <c r="J5" s="3"/>
      <c r="K5" s="3"/>
      <c r="L5" s="29"/>
      <c r="M5" s="3"/>
      <c r="N5" s="4"/>
      <c r="O5" s="4"/>
      <c r="P5" s="50"/>
      <c r="Q5" s="59"/>
      <c r="R5" s="33"/>
      <c r="S5" s="33"/>
      <c r="T5" s="33"/>
      <c r="U5" s="33"/>
      <c r="V5" s="34"/>
      <c r="W5" s="33"/>
      <c r="X5" s="33"/>
      <c r="Y5" s="33"/>
      <c r="Z5" s="33"/>
      <c r="AA5" s="33"/>
    </row>
    <row r="6" spans="1:29" ht="18">
      <c r="A6" s="5"/>
      <c r="B6" s="5"/>
      <c r="C6" s="5"/>
      <c r="D6" s="5"/>
      <c r="E6" s="227"/>
      <c r="F6" s="227"/>
      <c r="G6" s="27"/>
      <c r="H6" s="27"/>
      <c r="I6" s="7"/>
      <c r="J6" s="6"/>
      <c r="K6" s="6"/>
      <c r="L6" s="30"/>
      <c r="M6" s="7"/>
      <c r="P6" s="51"/>
      <c r="Q6" s="59"/>
      <c r="R6" s="33"/>
      <c r="S6" s="33"/>
      <c r="T6" s="56"/>
      <c r="U6" s="33"/>
      <c r="V6" s="34"/>
      <c r="W6" s="33"/>
      <c r="X6" s="33"/>
      <c r="Y6" s="33"/>
      <c r="Z6" s="33"/>
      <c r="AA6" s="33"/>
    </row>
    <row r="7" spans="1:29" ht="21">
      <c r="A7" s="3"/>
      <c r="B7" s="225"/>
      <c r="C7" s="225"/>
      <c r="D7" s="3"/>
      <c r="E7" s="225"/>
      <c r="F7" s="225"/>
      <c r="G7" s="28"/>
      <c r="H7" s="28"/>
      <c r="I7" s="9"/>
      <c r="J7" s="3"/>
      <c r="K7" s="8"/>
      <c r="L7" s="31"/>
      <c r="M7" s="9"/>
      <c r="P7" s="49"/>
      <c r="Q7" s="52"/>
      <c r="R7" s="49"/>
      <c r="S7" s="33"/>
      <c r="T7" s="33"/>
      <c r="U7" s="33"/>
      <c r="V7" s="34"/>
      <c r="W7" s="33"/>
      <c r="X7" s="33"/>
      <c r="Y7" s="33"/>
      <c r="Z7" s="33"/>
      <c r="AA7" s="33"/>
    </row>
    <row r="8" spans="1:29" ht="18">
      <c r="A8" s="235" t="s">
        <v>52</v>
      </c>
      <c r="B8" s="235"/>
      <c r="C8" s="235"/>
      <c r="D8" s="235"/>
      <c r="E8" s="235"/>
      <c r="F8" s="224" t="s">
        <v>1</v>
      </c>
      <c r="G8" s="224"/>
      <c r="H8" s="224"/>
      <c r="I8" s="224"/>
      <c r="J8" s="5"/>
      <c r="K8" s="5"/>
      <c r="L8" s="99"/>
      <c r="M8" s="100"/>
      <c r="N8" s="4"/>
      <c r="O8" s="4"/>
      <c r="P8" s="46"/>
      <c r="Q8" s="52"/>
      <c r="R8" s="49"/>
      <c r="S8" s="47"/>
      <c r="T8" s="56"/>
      <c r="U8" s="56"/>
      <c r="V8" s="34"/>
      <c r="W8" s="33"/>
      <c r="X8" s="33"/>
      <c r="Y8" s="33"/>
      <c r="Z8" s="33"/>
      <c r="AA8" s="33"/>
      <c r="AC8" s="57"/>
    </row>
    <row r="9" spans="1:29" ht="18">
      <c r="A9" s="10"/>
      <c r="B9" s="10"/>
      <c r="C9" s="10"/>
      <c r="D9" s="10"/>
      <c r="E9" s="10"/>
      <c r="F9" s="10"/>
      <c r="G9" s="16"/>
      <c r="H9" s="16"/>
      <c r="I9" s="10"/>
      <c r="J9" s="10"/>
      <c r="K9" s="10"/>
      <c r="L9" s="16"/>
      <c r="M9" s="10"/>
      <c r="N9" s="11"/>
      <c r="O9" s="11"/>
      <c r="P9" s="33"/>
      <c r="R9" s="33"/>
      <c r="S9" s="33"/>
      <c r="T9" s="56"/>
      <c r="U9" s="56"/>
      <c r="V9" s="48"/>
      <c r="W9" s="33"/>
      <c r="X9" s="33"/>
      <c r="Y9" s="33"/>
      <c r="Z9" s="33"/>
      <c r="AA9" s="33"/>
      <c r="AC9" s="57"/>
    </row>
    <row r="10" spans="1:29" ht="112.5" customHeight="1">
      <c r="A10" s="101" t="s">
        <v>0</v>
      </c>
      <c r="B10" s="12" t="s">
        <v>2</v>
      </c>
      <c r="C10" s="12" t="s">
        <v>3</v>
      </c>
      <c r="D10" s="12" t="s">
        <v>4</v>
      </c>
      <c r="E10" s="12" t="s">
        <v>5</v>
      </c>
      <c r="F10" s="13" t="s">
        <v>6</v>
      </c>
      <c r="G10" s="12" t="s">
        <v>7</v>
      </c>
      <c r="H10" s="12" t="s">
        <v>8</v>
      </c>
      <c r="I10" s="12" t="s">
        <v>9</v>
      </c>
      <c r="J10" s="12" t="s">
        <v>10</v>
      </c>
      <c r="K10" s="12" t="s">
        <v>11</v>
      </c>
      <c r="L10" s="12" t="s">
        <v>12</v>
      </c>
      <c r="M10" s="12" t="s">
        <v>13</v>
      </c>
      <c r="P10" s="36" t="s">
        <v>37</v>
      </c>
      <c r="Q10" s="36" t="s">
        <v>14</v>
      </c>
      <c r="R10" s="36" t="s">
        <v>15</v>
      </c>
      <c r="S10" s="48"/>
      <c r="T10" s="33"/>
      <c r="U10" s="33"/>
      <c r="V10" s="35"/>
      <c r="W10" s="35"/>
      <c r="X10" s="35"/>
      <c r="Y10" s="35"/>
      <c r="Z10" s="35"/>
      <c r="AA10" s="33"/>
    </row>
    <row r="11" spans="1:29" s="60" customFormat="1" ht="18" customHeight="1">
      <c r="A11" s="198">
        <v>1</v>
      </c>
      <c r="B11" s="199">
        <v>730</v>
      </c>
      <c r="C11" s="200"/>
      <c r="D11" s="200"/>
      <c r="E11" s="114"/>
      <c r="F11" s="119" t="s">
        <v>65</v>
      </c>
      <c r="G11" s="191" t="str">
        <f t="shared" ref="G11" si="0">RIGHT(F11,5)</f>
        <v>08:31</v>
      </c>
      <c r="H11" s="204" t="s">
        <v>73</v>
      </c>
      <c r="I11" s="192" t="s">
        <v>16</v>
      </c>
      <c r="J11" s="119" t="s">
        <v>66</v>
      </c>
      <c r="K11" s="191" t="str">
        <f t="shared" ref="K11" si="1">RIGHT(J11,5)</f>
        <v>09:42</v>
      </c>
      <c r="L11" s="202" t="str">
        <f t="shared" ref="L11" si="2">H11</f>
        <v>№495</v>
      </c>
      <c r="M11" s="193">
        <f t="shared" ref="M11" si="3">(J11-F11)*24</f>
        <v>1.1833333333488554</v>
      </c>
      <c r="N11" s="216" t="s">
        <v>175</v>
      </c>
      <c r="O11" s="217">
        <f>SUMIF(A:A,"*в работоспособном состоянии*",E:E)</f>
        <v>3655.5000000001164</v>
      </c>
      <c r="P11" s="119" t="s">
        <v>55</v>
      </c>
      <c r="Q11" s="194">
        <f t="shared" ref="Q11" si="4">(F11-P11)*24</f>
        <v>2.9833333332790062</v>
      </c>
      <c r="R11" s="195">
        <f>Q11-1</f>
        <v>1.9833333332790062</v>
      </c>
      <c r="S11" s="61"/>
      <c r="V11" s="62"/>
      <c r="W11" s="62"/>
      <c r="X11" s="62"/>
      <c r="Y11" s="62"/>
      <c r="Z11" s="62"/>
      <c r="AA11" s="62"/>
      <c r="AB11" s="62"/>
    </row>
    <row r="12" spans="1:29" s="60" customFormat="1" ht="18" customHeight="1">
      <c r="A12" s="198">
        <v>2</v>
      </c>
      <c r="B12" s="199">
        <v>730</v>
      </c>
      <c r="C12" s="200"/>
      <c r="D12" s="200"/>
      <c r="E12" s="114"/>
      <c r="F12" s="119" t="s">
        <v>83</v>
      </c>
      <c r="G12" s="191" t="str">
        <f t="shared" ref="G12" si="5">RIGHT(F12,5)</f>
        <v>04:55</v>
      </c>
      <c r="H12" s="204" t="s">
        <v>91</v>
      </c>
      <c r="I12" s="192" t="s">
        <v>16</v>
      </c>
      <c r="J12" s="119" t="s">
        <v>84</v>
      </c>
      <c r="K12" s="191" t="str">
        <f t="shared" ref="K12" si="6">RIGHT(J12,5)</f>
        <v>06:14</v>
      </c>
      <c r="L12" s="202" t="str">
        <f t="shared" ref="L12" si="7">H12</f>
        <v>№557</v>
      </c>
      <c r="M12" s="193">
        <f t="shared" ref="M12" si="8">(J12-F12)*24</f>
        <v>1.3166666667675599</v>
      </c>
      <c r="N12" s="216" t="s">
        <v>176</v>
      </c>
      <c r="O12" s="218">
        <f>SUMIF(A:A,"*ВСЕГО*",C:C)</f>
        <v>75141</v>
      </c>
      <c r="P12" s="119" t="s">
        <v>82</v>
      </c>
      <c r="Q12" s="194">
        <f t="shared" ref="Q12" si="9">(F12-P12)*24</f>
        <v>3.9833333332207985</v>
      </c>
      <c r="R12" s="195">
        <f>Q12-1</f>
        <v>2.9833333332207985</v>
      </c>
      <c r="S12" s="61"/>
      <c r="V12" s="62"/>
      <c r="W12" s="62"/>
      <c r="X12" s="62"/>
      <c r="Y12" s="62"/>
      <c r="Z12" s="62"/>
      <c r="AA12" s="62"/>
      <c r="AB12" s="62"/>
    </row>
    <row r="13" spans="1:29" s="60" customFormat="1" ht="18" customHeight="1">
      <c r="A13" s="198">
        <v>3</v>
      </c>
      <c r="B13" s="199">
        <v>730</v>
      </c>
      <c r="C13" s="200"/>
      <c r="D13" s="200"/>
      <c r="E13" s="114"/>
      <c r="F13" s="119" t="s">
        <v>101</v>
      </c>
      <c r="G13" s="191" t="str">
        <f t="shared" ref="G13:G14" si="10">RIGHT(F13,5)</f>
        <v>13:48</v>
      </c>
      <c r="H13" s="204" t="s">
        <v>113</v>
      </c>
      <c r="I13" s="192" t="s">
        <v>61</v>
      </c>
      <c r="J13" s="119" t="s">
        <v>102</v>
      </c>
      <c r="K13" s="191" t="str">
        <f t="shared" ref="K13:K14" si="11">RIGHT(J13,5)</f>
        <v>14:12</v>
      </c>
      <c r="L13" s="202" t="str">
        <f t="shared" ref="L13:L14" si="12">H13</f>
        <v>№29</v>
      </c>
      <c r="M13" s="193">
        <f t="shared" ref="M13:M14" si="13">(J13-F13)*24</f>
        <v>0.40000000008149073</v>
      </c>
      <c r="N13" s="216" t="s">
        <v>177</v>
      </c>
      <c r="O13" s="218">
        <f>SUMIF(A:A,"*в Обслуживании (ТО, ТР)*",E:E)</f>
        <v>19.000000000116415</v>
      </c>
      <c r="P13" s="119" t="s">
        <v>100</v>
      </c>
      <c r="Q13" s="194">
        <f t="shared" ref="Q13:Q14" si="14">(F13-P13)*24</f>
        <v>9.3833333331858739</v>
      </c>
      <c r="R13" s="195">
        <v>0</v>
      </c>
      <c r="S13" s="61"/>
      <c r="V13" s="62"/>
      <c r="W13" s="62"/>
      <c r="X13" s="62"/>
      <c r="Y13" s="62"/>
      <c r="Z13" s="62"/>
      <c r="AA13" s="62"/>
      <c r="AB13" s="62"/>
    </row>
    <row r="14" spans="1:29" s="60" customFormat="1" ht="18" customHeight="1" thickBot="1">
      <c r="A14" s="198">
        <v>4</v>
      </c>
      <c r="B14" s="208">
        <v>730</v>
      </c>
      <c r="C14" s="200"/>
      <c r="D14" s="200"/>
      <c r="E14" s="114"/>
      <c r="F14" s="119" t="s">
        <v>114</v>
      </c>
      <c r="G14" s="191" t="str">
        <f t="shared" si="10"/>
        <v>15:21</v>
      </c>
      <c r="H14" s="204" t="s">
        <v>116</v>
      </c>
      <c r="I14" s="192" t="s">
        <v>16</v>
      </c>
      <c r="J14" s="119" t="s">
        <v>115</v>
      </c>
      <c r="K14" s="191" t="str">
        <f t="shared" si="11"/>
        <v>16:48</v>
      </c>
      <c r="L14" s="202" t="str">
        <f t="shared" si="12"/>
        <v>№633</v>
      </c>
      <c r="M14" s="193">
        <f t="shared" si="13"/>
        <v>1.4500000000116415</v>
      </c>
      <c r="N14" s="216" t="s">
        <v>61</v>
      </c>
      <c r="O14" s="218">
        <f>SUMIF(A:A,"*в Обслуживании непредвиденном:*",E:E)</f>
        <v>0.40000000008149073</v>
      </c>
      <c r="P14" s="119" t="s">
        <v>111</v>
      </c>
      <c r="Q14" s="194">
        <f t="shared" si="14"/>
        <v>8.7499999998835847</v>
      </c>
      <c r="R14" s="195">
        <f>Q14-1</f>
        <v>7.7499999998835847</v>
      </c>
      <c r="S14" s="61"/>
      <c r="V14" s="62"/>
      <c r="W14" s="62"/>
      <c r="X14" s="62"/>
      <c r="Y14" s="62"/>
      <c r="Z14" s="62"/>
      <c r="AA14" s="62"/>
      <c r="AB14" s="62"/>
    </row>
    <row r="15" spans="1:29" s="60" customFormat="1" ht="18" customHeight="1" thickBot="1">
      <c r="A15" s="134" t="s">
        <v>17</v>
      </c>
      <c r="B15" s="135"/>
      <c r="C15" s="136">
        <f>Пробеги!E20</f>
        <v>14425</v>
      </c>
      <c r="D15" s="137">
        <f>C15</f>
        <v>14425</v>
      </c>
      <c r="E15" s="138">
        <f>DAY(EOMONTH(S70,0))*24-M15-R15</f>
        <v>726.93333333340706</v>
      </c>
      <c r="F15" s="97"/>
      <c r="G15" s="98"/>
      <c r="H15" s="97"/>
      <c r="I15" s="97"/>
      <c r="J15" s="97"/>
      <c r="K15" s="97"/>
      <c r="L15" s="97"/>
      <c r="M15" s="138">
        <f>SUM(M11:M14)</f>
        <v>4.3500000002095476</v>
      </c>
      <c r="N15" s="218" t="s">
        <v>178</v>
      </c>
      <c r="O15" s="218">
        <f>SUMIF(A:A,"*в Обслуживании гарантийном*",E:E)</f>
        <v>0</v>
      </c>
      <c r="P15" s="186"/>
      <c r="Q15" s="187">
        <f>SUM(Q11:Q14)</f>
        <v>25.099999999569263</v>
      </c>
      <c r="R15" s="188">
        <f>SUM(R11:R14)</f>
        <v>12.716666666383389</v>
      </c>
      <c r="S15" s="81"/>
      <c r="T15" s="82"/>
      <c r="V15" s="62"/>
      <c r="W15" s="62"/>
      <c r="X15" s="62"/>
      <c r="Y15" s="62"/>
      <c r="Z15" s="62"/>
      <c r="AA15" s="62"/>
      <c r="AB15" s="62"/>
    </row>
    <row r="16" spans="1:29" s="60" customFormat="1" ht="18" customHeight="1">
      <c r="A16" s="198">
        <v>1</v>
      </c>
      <c r="B16" s="156">
        <v>731</v>
      </c>
      <c r="C16" s="201"/>
      <c r="D16" s="201"/>
      <c r="E16" s="202"/>
      <c r="F16" s="119" t="s">
        <v>68</v>
      </c>
      <c r="G16" s="191" t="str">
        <f t="shared" ref="G16" si="15">RIGHT(F16,5)</f>
        <v>11:03</v>
      </c>
      <c r="H16" s="204" t="s">
        <v>74</v>
      </c>
      <c r="I16" s="192" t="s">
        <v>16</v>
      </c>
      <c r="J16" s="119" t="s">
        <v>69</v>
      </c>
      <c r="K16" s="191" t="str">
        <f t="shared" ref="K16" si="16">RIGHT(J16,5)</f>
        <v>12:06</v>
      </c>
      <c r="L16" s="202" t="str">
        <f t="shared" ref="L16" si="17">H16</f>
        <v>№514</v>
      </c>
      <c r="M16" s="193">
        <f t="shared" ref="M16" si="18">(J16-F16)*24</f>
        <v>1.0499999999301508</v>
      </c>
      <c r="N16" s="218" t="s">
        <v>179</v>
      </c>
      <c r="O16" s="217">
        <f>SUMIF(A:A,"*в ожидании ТО-2*",E:E)+V53+V51</f>
        <v>45.099999999685679</v>
      </c>
      <c r="P16" s="119" t="s">
        <v>67</v>
      </c>
      <c r="Q16" s="194">
        <f t="shared" ref="Q16" si="19">(F16-P16)*24</f>
        <v>0.71666666673263535</v>
      </c>
      <c r="R16" s="195">
        <f>Q16-Q16</f>
        <v>0</v>
      </c>
      <c r="S16" s="61"/>
      <c r="V16" s="62"/>
      <c r="W16" s="62"/>
      <c r="X16" s="62"/>
      <c r="Y16" s="62"/>
      <c r="Z16" s="62"/>
      <c r="AA16" s="62"/>
      <c r="AB16" s="62"/>
    </row>
    <row r="17" spans="1:28" s="60" customFormat="1" ht="18" customHeight="1">
      <c r="A17" s="198">
        <v>2</v>
      </c>
      <c r="B17" s="156">
        <v>731</v>
      </c>
      <c r="C17" s="201"/>
      <c r="D17" s="201"/>
      <c r="E17" s="202"/>
      <c r="F17" s="119" t="s">
        <v>94</v>
      </c>
      <c r="G17" s="191" t="str">
        <f t="shared" ref="G17" si="20">RIGHT(F17,5)</f>
        <v>20:49</v>
      </c>
      <c r="H17" s="204" t="s">
        <v>96</v>
      </c>
      <c r="I17" s="192" t="s">
        <v>16</v>
      </c>
      <c r="J17" s="119" t="s">
        <v>95</v>
      </c>
      <c r="K17" s="191" t="str">
        <f t="shared" ref="K17" si="21">RIGHT(J17,5)</f>
        <v>21:54</v>
      </c>
      <c r="L17" s="202" t="str">
        <f t="shared" ref="L17" si="22">H17</f>
        <v>№577</v>
      </c>
      <c r="M17" s="193">
        <f t="shared" ref="M17" si="23">(J17-F17)*24</f>
        <v>1.0833333333721384</v>
      </c>
      <c r="N17" s="216" t="s">
        <v>180</v>
      </c>
      <c r="O17" s="219" t="e">
        <f>#REF!</f>
        <v>#REF!</v>
      </c>
      <c r="P17" s="119" t="s">
        <v>93</v>
      </c>
      <c r="Q17" s="194">
        <f t="shared" ref="Q17" si="24">(F17-P17)*24</f>
        <v>1.2333333333372138</v>
      </c>
      <c r="R17" s="195">
        <f>Q17-1</f>
        <v>0.23333333333721384</v>
      </c>
      <c r="S17" s="61"/>
      <c r="V17" s="62"/>
      <c r="W17" s="62"/>
      <c r="X17" s="62"/>
      <c r="Y17" s="62"/>
      <c r="Z17" s="62"/>
      <c r="AA17" s="62"/>
      <c r="AB17" s="62"/>
    </row>
    <row r="18" spans="1:28" s="60" customFormat="1" ht="18" customHeight="1" thickBot="1">
      <c r="A18" s="198">
        <v>3</v>
      </c>
      <c r="B18" s="156">
        <v>731</v>
      </c>
      <c r="C18" s="201"/>
      <c r="D18" s="201"/>
      <c r="E18" s="202"/>
      <c r="F18" s="119" t="s">
        <v>118</v>
      </c>
      <c r="G18" s="191" t="str">
        <f t="shared" ref="G18" si="25">RIGHT(F18,5)</f>
        <v>12:36</v>
      </c>
      <c r="H18" s="204" t="s">
        <v>120</v>
      </c>
      <c r="I18" s="192" t="s">
        <v>16</v>
      </c>
      <c r="J18" s="119" t="s">
        <v>119</v>
      </c>
      <c r="K18" s="191" t="str">
        <f t="shared" ref="K18" si="26">RIGHT(J18,5)</f>
        <v>13:39</v>
      </c>
      <c r="L18" s="202" t="str">
        <f t="shared" ref="L18" si="27">H18</f>
        <v>№650</v>
      </c>
      <c r="M18" s="193">
        <f t="shared" ref="M18" si="28">(J18-F18)*24</f>
        <v>1.0499999999301508</v>
      </c>
      <c r="N18" s="217" t="s">
        <v>181</v>
      </c>
      <c r="O18" s="217">
        <f>Q33-R33+V45+V52+V44+V43</f>
        <v>26.199999999953434</v>
      </c>
      <c r="P18" s="119" t="s">
        <v>117</v>
      </c>
      <c r="Q18" s="194">
        <f t="shared" ref="Q18" si="29">(F18-P18)*24</f>
        <v>2.5833333333721384</v>
      </c>
      <c r="R18" s="195">
        <f>Q18-1</f>
        <v>1.5833333333721384</v>
      </c>
      <c r="S18" s="61"/>
      <c r="V18" s="62"/>
      <c r="W18" s="62"/>
      <c r="X18" s="62"/>
      <c r="Y18" s="62"/>
      <c r="Z18" s="62"/>
      <c r="AA18" s="62"/>
      <c r="AB18" s="62"/>
    </row>
    <row r="19" spans="1:28" s="60" customFormat="1" ht="19" thickBot="1">
      <c r="A19" s="134" t="s">
        <v>17</v>
      </c>
      <c r="B19" s="157"/>
      <c r="C19" s="136">
        <f>Пробеги!E22</f>
        <v>15113</v>
      </c>
      <c r="D19" s="158">
        <f>C19</f>
        <v>15113</v>
      </c>
      <c r="E19" s="138">
        <f>DAY(EOMONTH(S70,0))*24-M19-R19</f>
        <v>739.00000000005821</v>
      </c>
      <c r="F19" s="92"/>
      <c r="G19" s="93"/>
      <c r="H19" s="92"/>
      <c r="I19" s="92"/>
      <c r="J19" s="92"/>
      <c r="K19" s="92"/>
      <c r="L19" s="92"/>
      <c r="M19" s="197">
        <f>SUM(M16:M18)</f>
        <v>3.1833333332324401</v>
      </c>
      <c r="N19" s="220" t="s">
        <v>182</v>
      </c>
      <c r="O19" s="220">
        <f>V40+V38+E41</f>
        <v>1.2833333335001953</v>
      </c>
      <c r="P19" s="186"/>
      <c r="Q19" s="196">
        <f>SUM(Q16:Q18)</f>
        <v>4.5333333334419876</v>
      </c>
      <c r="R19" s="155">
        <f>SUM(R16:R18)</f>
        <v>1.8166666667093523</v>
      </c>
      <c r="V19" s="62"/>
      <c r="W19" s="62"/>
      <c r="X19" s="62"/>
      <c r="Y19" s="62"/>
      <c r="Z19" s="62"/>
      <c r="AA19" s="62"/>
      <c r="AB19" s="62"/>
    </row>
    <row r="20" spans="1:28" s="60" customFormat="1" ht="18" customHeight="1">
      <c r="A20" s="178">
        <v>1</v>
      </c>
      <c r="B20" s="159">
        <v>732</v>
      </c>
      <c r="C20" s="159"/>
      <c r="D20" s="159"/>
      <c r="E20" s="160"/>
      <c r="F20" s="119" t="s">
        <v>71</v>
      </c>
      <c r="G20" s="191" t="str">
        <f t="shared" ref="G20" si="30">RIGHT(F20,5)</f>
        <v>14:27</v>
      </c>
      <c r="H20" s="204" t="s">
        <v>75</v>
      </c>
      <c r="I20" s="192" t="s">
        <v>16</v>
      </c>
      <c r="J20" s="119" t="s">
        <v>72</v>
      </c>
      <c r="K20" s="191" t="str">
        <f t="shared" ref="K20" si="31">RIGHT(J20,5)</f>
        <v>15:41</v>
      </c>
      <c r="L20" s="202" t="str">
        <f t="shared" ref="L20" si="32">H20</f>
        <v>№523</v>
      </c>
      <c r="M20" s="193">
        <f t="shared" ref="M20" si="33">(J20-F20)*24</f>
        <v>1.2333333333372138</v>
      </c>
      <c r="N20" s="217" t="s">
        <v>183</v>
      </c>
      <c r="O20" s="220">
        <f>V58+V59</f>
        <v>0</v>
      </c>
      <c r="P20" s="119" t="s">
        <v>70</v>
      </c>
      <c r="Q20" s="194">
        <f t="shared" ref="Q20" si="34">(F20-P20)*24</f>
        <v>4.5499999999883585</v>
      </c>
      <c r="R20" s="195">
        <f>Q20-1</f>
        <v>3.5499999999883585</v>
      </c>
      <c r="S20" s="61"/>
      <c r="V20" s="62"/>
      <c r="W20" s="62"/>
      <c r="X20" s="62"/>
      <c r="Y20" s="62"/>
      <c r="Z20" s="62"/>
      <c r="AA20" s="62"/>
      <c r="AB20" s="62"/>
    </row>
    <row r="21" spans="1:28" s="60" customFormat="1" ht="18" customHeight="1">
      <c r="A21" s="178">
        <v>2</v>
      </c>
      <c r="B21" s="159">
        <v>732</v>
      </c>
      <c r="C21" s="159"/>
      <c r="D21" s="159"/>
      <c r="E21" s="160"/>
      <c r="F21" s="119" t="s">
        <v>98</v>
      </c>
      <c r="G21" s="191" t="str">
        <f t="shared" ref="G21" si="35">RIGHT(F21,5)</f>
        <v>14:29</v>
      </c>
      <c r="H21" s="204" t="s">
        <v>109</v>
      </c>
      <c r="I21" s="192" t="s">
        <v>16</v>
      </c>
      <c r="J21" s="119" t="s">
        <v>99</v>
      </c>
      <c r="K21" s="191" t="str">
        <f t="shared" ref="K21" si="36">RIGHT(J21,5)</f>
        <v>15:08</v>
      </c>
      <c r="L21" s="202" t="str">
        <f t="shared" ref="L21" si="37">H21</f>
        <v>№581</v>
      </c>
      <c r="M21" s="193">
        <f t="shared" ref="M21" si="38">(J21-F21)*24</f>
        <v>0.65000000002328306</v>
      </c>
      <c r="N21" s="221"/>
      <c r="P21" s="119" t="s">
        <v>97</v>
      </c>
      <c r="Q21" s="194">
        <f t="shared" ref="Q21" si="39">(F21-P21)*24</f>
        <v>11.133333333476912</v>
      </c>
      <c r="R21" s="195">
        <f>Q21-1</f>
        <v>10.133333333476912</v>
      </c>
      <c r="S21" s="61"/>
      <c r="V21" s="62"/>
      <c r="W21" s="62"/>
      <c r="X21" s="62"/>
      <c r="Y21" s="62"/>
      <c r="Z21" s="62"/>
      <c r="AA21" s="62"/>
      <c r="AB21" s="62"/>
    </row>
    <row r="22" spans="1:28" s="60" customFormat="1" ht="18" customHeight="1" thickBot="1">
      <c r="A22" s="178">
        <v>3</v>
      </c>
      <c r="B22" s="159">
        <v>732</v>
      </c>
      <c r="C22" s="159"/>
      <c r="D22" s="159"/>
      <c r="E22" s="160"/>
      <c r="F22" s="119" t="s">
        <v>122</v>
      </c>
      <c r="G22" s="191" t="str">
        <f t="shared" ref="G22" si="40">RIGHT(F22,5)</f>
        <v>23:45</v>
      </c>
      <c r="H22" s="204" t="s">
        <v>124</v>
      </c>
      <c r="I22" s="192" t="s">
        <v>16</v>
      </c>
      <c r="J22" s="119" t="s">
        <v>123</v>
      </c>
      <c r="K22" s="191" t="str">
        <f t="shared" ref="K22" si="41">RIGHT(J22,5)</f>
        <v>01:09</v>
      </c>
      <c r="L22" s="202" t="str">
        <f t="shared" ref="L22" si="42">H22</f>
        <v>№665</v>
      </c>
      <c r="M22" s="193">
        <f t="shared" ref="M22" si="43">(J22-F22)*24</f>
        <v>1.4000000000232831</v>
      </c>
      <c r="N22" s="61"/>
      <c r="P22" s="119" t="s">
        <v>121</v>
      </c>
      <c r="Q22" s="194">
        <f t="shared" ref="Q22" si="44">(F22-P22)*24</f>
        <v>0.41666666680248454</v>
      </c>
      <c r="R22" s="195">
        <f>Q22-Q22</f>
        <v>0</v>
      </c>
      <c r="S22" s="61"/>
      <c r="V22" s="62"/>
      <c r="W22" s="62"/>
      <c r="X22" s="62"/>
      <c r="Y22" s="62"/>
      <c r="Z22" s="62"/>
      <c r="AA22" s="62"/>
      <c r="AB22" s="62"/>
    </row>
    <row r="23" spans="1:28" s="60" customFormat="1" ht="18" customHeight="1" thickBot="1">
      <c r="A23" s="134" t="s">
        <v>17</v>
      </c>
      <c r="B23" s="179"/>
      <c r="C23" s="180">
        <f>Пробеги!E24</f>
        <v>14087</v>
      </c>
      <c r="D23" s="181">
        <f>C23</f>
        <v>14087</v>
      </c>
      <c r="E23" s="169">
        <f>DAY(EOMONTH(S70,0))*24-M23-R23</f>
        <v>727.03333333315095</v>
      </c>
      <c r="F23" s="116"/>
      <c r="G23" s="117"/>
      <c r="H23" s="104"/>
      <c r="I23" s="104"/>
      <c r="J23" s="104"/>
      <c r="K23" s="104"/>
      <c r="L23" s="104"/>
      <c r="M23" s="203">
        <f>SUM(M20:M22)</f>
        <v>3.28333333338378</v>
      </c>
      <c r="P23" s="186"/>
      <c r="Q23" s="155">
        <f>SUM(Q20:Q22)</f>
        <v>16.100000000267755</v>
      </c>
      <c r="R23" s="155">
        <f>SUM(R20:R22)</f>
        <v>13.683333333465271</v>
      </c>
      <c r="V23" s="62"/>
      <c r="W23" s="62"/>
      <c r="X23" s="62"/>
      <c r="Y23" s="62"/>
      <c r="Z23" s="62"/>
      <c r="AA23" s="62"/>
      <c r="AB23" s="62"/>
    </row>
    <row r="24" spans="1:28" s="60" customFormat="1" ht="18" customHeight="1">
      <c r="A24" s="190">
        <v>1</v>
      </c>
      <c r="B24" s="159">
        <v>733</v>
      </c>
      <c r="C24" s="159"/>
      <c r="D24" s="159"/>
      <c r="E24" s="160"/>
      <c r="F24" s="119" t="s">
        <v>56</v>
      </c>
      <c r="G24" s="191" t="str">
        <f t="shared" ref="G24" si="45">RIGHT(F24,5)</f>
        <v>09:06</v>
      </c>
      <c r="H24" s="204" t="s">
        <v>76</v>
      </c>
      <c r="I24" s="192" t="s">
        <v>16</v>
      </c>
      <c r="J24" s="119" t="s">
        <v>57</v>
      </c>
      <c r="K24" s="191" t="str">
        <f t="shared" ref="K24" si="46">RIGHT(J24,5)</f>
        <v>10:22</v>
      </c>
      <c r="L24" s="202" t="str">
        <f t="shared" ref="L24" si="47">H24</f>
        <v>№485</v>
      </c>
      <c r="M24" s="193">
        <f t="shared" ref="M24" si="48">(J24-F24)*24</f>
        <v>1.2666666666045785</v>
      </c>
      <c r="N24" s="61"/>
      <c r="P24" s="119" t="s">
        <v>54</v>
      </c>
      <c r="Q24" s="194">
        <f t="shared" ref="Q24" si="49">(F24-P24)*24</f>
        <v>3.8999999999650754</v>
      </c>
      <c r="R24" s="195">
        <f>Q24-1</f>
        <v>2.8999999999650754</v>
      </c>
      <c r="S24" s="61"/>
      <c r="V24" s="62"/>
      <c r="W24" s="62"/>
      <c r="X24" s="62"/>
      <c r="Y24" s="62"/>
      <c r="Z24" s="62"/>
      <c r="AA24" s="62"/>
      <c r="AB24" s="62"/>
    </row>
    <row r="25" spans="1:28" s="60" customFormat="1" ht="18" customHeight="1">
      <c r="A25" s="178">
        <v>2</v>
      </c>
      <c r="B25" s="159">
        <v>733</v>
      </c>
      <c r="C25" s="159"/>
      <c r="D25" s="159"/>
      <c r="E25" s="160"/>
      <c r="F25" s="119" t="s">
        <v>79</v>
      </c>
      <c r="G25" s="191" t="str">
        <f t="shared" ref="G25" si="50">RIGHT(F25,5)</f>
        <v>21:17</v>
      </c>
      <c r="H25" s="204" t="s">
        <v>81</v>
      </c>
      <c r="I25" s="192" t="s">
        <v>16</v>
      </c>
      <c r="J25" s="119" t="s">
        <v>80</v>
      </c>
      <c r="K25" s="191" t="str">
        <f t="shared" ref="K25" si="51">RIGHT(J25,5)</f>
        <v>22:31</v>
      </c>
      <c r="L25" s="202" t="str">
        <f t="shared" ref="L25" si="52">H25</f>
        <v>№543</v>
      </c>
      <c r="M25" s="193">
        <f t="shared" ref="M25" si="53">(J25-F25)*24</f>
        <v>1.2333333333372138</v>
      </c>
      <c r="N25" s="61"/>
      <c r="P25" s="119" t="s">
        <v>78</v>
      </c>
      <c r="Q25" s="194">
        <f t="shared" ref="Q25" si="54">(F25-P25)*24</f>
        <v>1.7166666666744277</v>
      </c>
      <c r="R25" s="195">
        <f>Q25-1</f>
        <v>0.71666666667442769</v>
      </c>
      <c r="S25" s="61"/>
      <c r="V25" s="62"/>
      <c r="W25" s="62"/>
      <c r="X25" s="62"/>
      <c r="Y25" s="62"/>
      <c r="Z25" s="62"/>
      <c r="AA25" s="62"/>
      <c r="AB25" s="62"/>
    </row>
    <row r="26" spans="1:28" s="60" customFormat="1" ht="18" customHeight="1">
      <c r="A26" s="178">
        <v>3</v>
      </c>
      <c r="B26" s="159">
        <v>733</v>
      </c>
      <c r="C26" s="159"/>
      <c r="D26" s="159"/>
      <c r="E26" s="160"/>
      <c r="F26" s="119" t="s">
        <v>104</v>
      </c>
      <c r="G26" s="191" t="str">
        <f t="shared" ref="G26" si="55">RIGHT(F26,5)</f>
        <v>13:10</v>
      </c>
      <c r="H26" s="204" t="s">
        <v>112</v>
      </c>
      <c r="I26" s="192" t="s">
        <v>16</v>
      </c>
      <c r="J26" s="119" t="s">
        <v>105</v>
      </c>
      <c r="K26" s="191" t="str">
        <f t="shared" ref="K26" si="56">RIGHT(J26,5)</f>
        <v>14:43</v>
      </c>
      <c r="L26" s="202" t="str">
        <f t="shared" ref="L26" si="57">H26</f>
        <v>№606</v>
      </c>
      <c r="M26" s="193">
        <f t="shared" ref="M26" si="58">(J26-F26)*24</f>
        <v>1.5499999999883585</v>
      </c>
      <c r="N26" s="61"/>
      <c r="P26" s="119" t="s">
        <v>103</v>
      </c>
      <c r="Q26" s="194">
        <f t="shared" ref="Q26" si="59">(F26-P26)*24</f>
        <v>1.5333333332673647</v>
      </c>
      <c r="R26" s="195">
        <f>Q26-1</f>
        <v>0.53333333326736465</v>
      </c>
      <c r="S26" s="61"/>
      <c r="V26" s="62"/>
      <c r="W26" s="62"/>
      <c r="X26" s="62"/>
      <c r="Y26" s="62"/>
      <c r="Z26" s="62"/>
      <c r="AA26" s="62"/>
      <c r="AB26" s="62"/>
    </row>
    <row r="27" spans="1:28" s="60" customFormat="1" ht="18" customHeight="1" thickBot="1">
      <c r="A27" s="178">
        <v>4</v>
      </c>
      <c r="B27" s="159">
        <v>733</v>
      </c>
      <c r="C27" s="159"/>
      <c r="D27" s="159"/>
      <c r="E27" s="160"/>
      <c r="F27" s="119" t="s">
        <v>126</v>
      </c>
      <c r="G27" s="191" t="str">
        <f t="shared" ref="G27" si="60">RIGHT(F27,5)</f>
        <v>14:01</v>
      </c>
      <c r="H27" s="204" t="s">
        <v>128</v>
      </c>
      <c r="I27" s="192" t="s">
        <v>16</v>
      </c>
      <c r="J27" s="119" t="s">
        <v>127</v>
      </c>
      <c r="K27" s="191" t="str">
        <f t="shared" ref="K27" si="61">RIGHT(J27,5)</f>
        <v>15:01</v>
      </c>
      <c r="L27" s="202" t="str">
        <f t="shared" ref="L27" si="62">H27</f>
        <v>№677</v>
      </c>
      <c r="M27" s="193">
        <f t="shared" ref="M27" si="63">(J27-F27)*24</f>
        <v>1.0000000001164153</v>
      </c>
      <c r="N27" s="61"/>
      <c r="P27" s="119" t="s">
        <v>125</v>
      </c>
      <c r="Q27" s="194">
        <f t="shared" ref="Q27" si="64">(F27-P27)*24</f>
        <v>2.1833333332906477</v>
      </c>
      <c r="R27" s="195">
        <f>Q27-1</f>
        <v>1.1833333332906477</v>
      </c>
      <c r="S27" s="61"/>
      <c r="V27" s="62"/>
      <c r="W27" s="62"/>
      <c r="X27" s="62"/>
      <c r="Y27" s="62"/>
      <c r="Z27" s="62"/>
      <c r="AA27" s="62"/>
      <c r="AB27" s="62"/>
    </row>
    <row r="28" spans="1:28" s="60" customFormat="1" ht="18" customHeight="1" thickBot="1">
      <c r="A28" s="134" t="s">
        <v>17</v>
      </c>
      <c r="B28" s="135"/>
      <c r="C28" s="161">
        <f>Пробеги!E26</f>
        <v>15888</v>
      </c>
      <c r="D28" s="158">
        <f>C28</f>
        <v>15888</v>
      </c>
      <c r="E28" s="162">
        <f>DAY(EOMONTH(S70,0))*24-R28-M28</f>
        <v>733.61666666675592</v>
      </c>
      <c r="F28" s="184"/>
      <c r="G28" s="185"/>
      <c r="H28" s="103"/>
      <c r="I28" s="103"/>
      <c r="J28" s="128"/>
      <c r="K28" s="103"/>
      <c r="L28" s="103"/>
      <c r="M28" s="189">
        <f>SUM(M24:M27)</f>
        <v>5.0500000000465661</v>
      </c>
      <c r="P28" s="186"/>
      <c r="Q28" s="155">
        <f>SUM(Q24:Q27)</f>
        <v>9.3333333331975155</v>
      </c>
      <c r="R28" s="155">
        <f>SUM(R24:R27)</f>
        <v>5.3333333331975155</v>
      </c>
    </row>
    <row r="29" spans="1:28" s="60" customFormat="1" ht="18" customHeight="1">
      <c r="A29" s="182">
        <v>1</v>
      </c>
      <c r="B29" s="183">
        <v>734</v>
      </c>
      <c r="C29" s="118"/>
      <c r="D29" s="118"/>
      <c r="E29" s="115"/>
      <c r="F29" s="119" t="s">
        <v>59</v>
      </c>
      <c r="G29" s="191" t="str">
        <f t="shared" ref="G29" si="65">RIGHT(F29,5)</f>
        <v>20:53</v>
      </c>
      <c r="H29" s="204" t="s">
        <v>77</v>
      </c>
      <c r="I29" s="192" t="s">
        <v>16</v>
      </c>
      <c r="J29" s="119" t="s">
        <v>60</v>
      </c>
      <c r="K29" s="191" t="str">
        <f t="shared" ref="K29" si="66">RIGHT(J29,5)</f>
        <v>21:57</v>
      </c>
      <c r="L29" s="202" t="str">
        <f t="shared" ref="L29" si="67">H29</f>
        <v>№491</v>
      </c>
      <c r="M29" s="193">
        <f t="shared" ref="M29" si="68">(J29-F29)*24</f>
        <v>1.0666666666511446</v>
      </c>
      <c r="N29" s="61"/>
      <c r="P29" s="119" t="s">
        <v>58</v>
      </c>
      <c r="Q29" s="194">
        <f t="shared" ref="Q29" si="69">(F29-P29)*24</f>
        <v>5.6333333333604969</v>
      </c>
      <c r="R29" s="195">
        <f>Q29-1</f>
        <v>4.6333333333604969</v>
      </c>
      <c r="S29" s="61"/>
      <c r="Z29" s="63"/>
    </row>
    <row r="30" spans="1:28" s="60" customFormat="1" ht="18" customHeight="1">
      <c r="A30" s="178">
        <v>2</v>
      </c>
      <c r="B30" s="183">
        <v>734</v>
      </c>
      <c r="C30" s="200"/>
      <c r="D30" s="200"/>
      <c r="E30" s="115"/>
      <c r="F30" s="119" t="s">
        <v>86</v>
      </c>
      <c r="G30" s="191" t="str">
        <f t="shared" ref="G30" si="70">RIGHT(F30,5)</f>
        <v>14:45</v>
      </c>
      <c r="H30" s="204" t="s">
        <v>92</v>
      </c>
      <c r="I30" s="192" t="s">
        <v>16</v>
      </c>
      <c r="J30" s="119" t="s">
        <v>87</v>
      </c>
      <c r="K30" s="191" t="str">
        <f t="shared" ref="K30" si="71">RIGHT(J30,5)</f>
        <v>15:57</v>
      </c>
      <c r="L30" s="202" t="str">
        <f t="shared" ref="L30" si="72">H30</f>
        <v>№554</v>
      </c>
      <c r="M30" s="193">
        <f t="shared" ref="M30" si="73">(J30-F30)*24</f>
        <v>1.1999999998952262</v>
      </c>
      <c r="N30" s="61"/>
      <c r="P30" s="119" t="s">
        <v>85</v>
      </c>
      <c r="Q30" s="194">
        <f t="shared" ref="Q30" si="74">(F30-P30)*24</f>
        <v>4.1833333333488554</v>
      </c>
      <c r="R30" s="195">
        <f>Q30-1</f>
        <v>3.1833333333488554</v>
      </c>
      <c r="S30" s="61"/>
      <c r="Z30" s="63"/>
    </row>
    <row r="31" spans="1:28" s="60" customFormat="1" ht="18" customHeight="1" thickBot="1">
      <c r="A31" s="178">
        <v>3</v>
      </c>
      <c r="B31" s="183">
        <v>734</v>
      </c>
      <c r="C31" s="200"/>
      <c r="D31" s="200"/>
      <c r="E31" s="115"/>
      <c r="F31" s="119" t="s">
        <v>107</v>
      </c>
      <c r="G31" s="191" t="str">
        <f t="shared" ref="G31" si="75">RIGHT(F31,5)</f>
        <v>20:24</v>
      </c>
      <c r="H31" s="204" t="s">
        <v>110</v>
      </c>
      <c r="I31" s="192" t="s">
        <v>16</v>
      </c>
      <c r="J31" s="119" t="s">
        <v>108</v>
      </c>
      <c r="K31" s="191" t="str">
        <f t="shared" ref="K31" si="76">RIGHT(J31,5)</f>
        <v>21:40</v>
      </c>
      <c r="L31" s="202" t="str">
        <f t="shared" ref="L31" si="77">H31</f>
        <v>№625</v>
      </c>
      <c r="M31" s="193">
        <f t="shared" ref="M31" si="78">(J31-F31)*24</f>
        <v>1.2666666667792015</v>
      </c>
      <c r="N31" s="61"/>
      <c r="P31" s="119" t="s">
        <v>106</v>
      </c>
      <c r="Q31" s="194">
        <f t="shared" ref="Q31" si="79">(F31-P31)*24</f>
        <v>4.7333333332207985</v>
      </c>
      <c r="R31" s="195">
        <f>Q31-1</f>
        <v>3.7333333332207985</v>
      </c>
      <c r="S31" s="61"/>
      <c r="Z31" s="63"/>
    </row>
    <row r="32" spans="1:28" s="14" customFormat="1" ht="18" customHeight="1" thickBot="1">
      <c r="A32" s="166" t="s">
        <v>17</v>
      </c>
      <c r="B32" s="167"/>
      <c r="C32" s="168">
        <f>Пробеги!E28</f>
        <v>15628</v>
      </c>
      <c r="D32" s="137">
        <f>C32</f>
        <v>15628</v>
      </c>
      <c r="E32" s="169">
        <f>DAY(EOMONTH(S70,0))*24-M32-R32</f>
        <v>728.91666666674428</v>
      </c>
      <c r="F32" s="170"/>
      <c r="G32" s="171"/>
      <c r="H32" s="172"/>
      <c r="I32" s="170"/>
      <c r="J32" s="170"/>
      <c r="K32" s="170"/>
      <c r="L32" s="170"/>
      <c r="M32" s="165">
        <f>SUM(M29:M31)</f>
        <v>3.5333333333255723</v>
      </c>
      <c r="P32" s="163"/>
      <c r="Q32" s="164">
        <f>SUM(Q29:Q31)</f>
        <v>14.549999999930151</v>
      </c>
      <c r="R32" s="155">
        <f>SUM(R29:R31)</f>
        <v>11.549999999930151</v>
      </c>
      <c r="U32" s="37"/>
      <c r="V32" s="37"/>
    </row>
    <row r="33" spans="1:29" s="14" customFormat="1" ht="18" customHeight="1" thickBot="1">
      <c r="A33" s="173" t="s">
        <v>18</v>
      </c>
      <c r="B33" s="173"/>
      <c r="C33" s="174">
        <f>C15+C19+C23+C28+C32</f>
        <v>75141</v>
      </c>
      <c r="D33" s="174">
        <f>D15+D19+D23+D28+D32</f>
        <v>75141</v>
      </c>
      <c r="E33" s="141">
        <f>E15+E19+E23+E28+E32</f>
        <v>3655.5000000001164</v>
      </c>
      <c r="F33" s="175"/>
      <c r="G33" s="176"/>
      <c r="H33" s="177"/>
      <c r="I33" s="177"/>
      <c r="J33" s="177"/>
      <c r="K33" s="177"/>
      <c r="L33" s="177"/>
      <c r="M33" s="141">
        <f>M32+M28+M23+M19+M15</f>
        <v>19.400000000197906</v>
      </c>
      <c r="P33" s="129"/>
      <c r="Q33" s="139">
        <f>SUM(Q15,Q19,Q23,Q28,Q32)</f>
        <v>69.616666666406672</v>
      </c>
      <c r="R33" s="140">
        <f>R15+R19+R23+R28+R32</f>
        <v>45.099999999685679</v>
      </c>
      <c r="S33" s="37"/>
    </row>
    <row r="34" spans="1:29" s="19" customFormat="1" ht="18">
      <c r="A34" s="228" t="s">
        <v>19</v>
      </c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8"/>
      <c r="M34" s="228"/>
      <c r="P34" s="144"/>
      <c r="Q34" s="58"/>
      <c r="R34" s="133"/>
      <c r="S34" s="145"/>
      <c r="V34" s="145"/>
    </row>
    <row r="35" spans="1:29" s="19" customFormat="1" ht="18">
      <c r="A35" s="228" t="s">
        <v>20</v>
      </c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8"/>
      <c r="M35" s="228"/>
      <c r="P35" s="146"/>
      <c r="Q35" s="146"/>
      <c r="R35" s="146"/>
      <c r="S35" s="147"/>
      <c r="T35" s="148"/>
      <c r="U35" s="149"/>
      <c r="V35" s="150"/>
    </row>
    <row r="36" spans="1:29" s="19" customFormat="1" ht="21" customHeight="1">
      <c r="A36" s="39"/>
      <c r="B36" s="40"/>
      <c r="C36" s="40"/>
      <c r="D36" s="40"/>
      <c r="E36" s="40"/>
      <c r="F36" s="40"/>
      <c r="G36" s="40"/>
      <c r="H36" s="40"/>
      <c r="I36" s="71"/>
      <c r="J36" s="40"/>
      <c r="K36" s="151"/>
      <c r="L36" s="152"/>
      <c r="M36" s="153"/>
      <c r="P36" s="29" t="s">
        <v>41</v>
      </c>
      <c r="Q36" s="29"/>
      <c r="R36" s="29"/>
      <c r="S36" s="29"/>
      <c r="T36" s="29"/>
      <c r="U36" s="29"/>
      <c r="V36" s="29"/>
    </row>
    <row r="37" spans="1:29" s="19" customFormat="1" ht="18">
      <c r="A37" s="228" t="s">
        <v>21</v>
      </c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8"/>
      <c r="M37" s="228"/>
      <c r="P37" s="154" t="s">
        <v>42</v>
      </c>
      <c r="Q37" s="154" t="s">
        <v>43</v>
      </c>
      <c r="R37" s="154" t="s">
        <v>44</v>
      </c>
      <c r="S37" s="154" t="s">
        <v>45</v>
      </c>
      <c r="T37" s="154" t="s">
        <v>46</v>
      </c>
      <c r="U37" s="154" t="s">
        <v>47</v>
      </c>
      <c r="V37" s="154" t="s">
        <v>48</v>
      </c>
    </row>
    <row r="38" spans="1:29" s="14" customFormat="1" ht="19">
      <c r="A38" s="42"/>
      <c r="B38" s="43"/>
      <c r="C38" s="43"/>
      <c r="D38" s="43"/>
      <c r="E38" s="43"/>
      <c r="F38" s="43"/>
      <c r="G38" s="43"/>
      <c r="I38" s="32"/>
      <c r="J38" s="130"/>
      <c r="K38" s="32"/>
      <c r="L38" s="67"/>
      <c r="M38" s="32"/>
      <c r="P38" s="120" t="s">
        <v>49</v>
      </c>
      <c r="Q38" s="120">
        <v>731</v>
      </c>
      <c r="R38" s="119" t="s">
        <v>63</v>
      </c>
      <c r="S38" s="205" t="s">
        <v>61</v>
      </c>
      <c r="T38" s="119" t="s">
        <v>64</v>
      </c>
      <c r="U38" s="121" t="s">
        <v>90</v>
      </c>
      <c r="V38" s="206">
        <f>(T38-R38)*24</f>
        <v>0.88333333341870457</v>
      </c>
      <c r="X38" s="132"/>
    </row>
    <row r="39" spans="1:29" s="14" customFormat="1" ht="18">
      <c r="A39" s="142" t="s">
        <v>22</v>
      </c>
      <c r="B39" s="142"/>
      <c r="C39" s="142"/>
      <c r="D39" s="142"/>
      <c r="E39" s="143">
        <f>E33</f>
        <v>3655.5000000001164</v>
      </c>
      <c r="F39" s="18"/>
      <c r="G39" s="86"/>
      <c r="H39" s="86"/>
      <c r="I39" s="74"/>
      <c r="J39" s="80"/>
      <c r="L39" s="32"/>
      <c r="M39" s="74"/>
      <c r="N39" s="18"/>
      <c r="O39" s="18"/>
      <c r="P39" s="120"/>
      <c r="Q39" s="120"/>
      <c r="R39" s="119"/>
      <c r="S39" s="205"/>
      <c r="T39" s="119"/>
      <c r="U39" s="121"/>
      <c r="V39" s="206"/>
      <c r="X39" s="132"/>
    </row>
    <row r="40" spans="1:29" s="14" customFormat="1" ht="18">
      <c r="A40" s="142" t="s">
        <v>23</v>
      </c>
      <c r="B40" s="142"/>
      <c r="C40" s="142"/>
      <c r="D40" s="142"/>
      <c r="E40" s="143">
        <f>M33-M13</f>
        <v>19.000000000116415</v>
      </c>
      <c r="F40" s="18"/>
      <c r="G40" s="32"/>
      <c r="H40" s="70"/>
      <c r="I40" s="74"/>
      <c r="J40" s="80"/>
      <c r="L40" s="32"/>
      <c r="M40" s="32"/>
      <c r="P40" s="120"/>
      <c r="Q40" s="120"/>
      <c r="R40" s="123"/>
      <c r="S40" s="205"/>
      <c r="T40" s="123"/>
      <c r="U40" s="207"/>
      <c r="V40" s="206"/>
    </row>
    <row r="41" spans="1:29" s="14" customFormat="1" ht="18">
      <c r="A41" s="142" t="s">
        <v>24</v>
      </c>
      <c r="B41" s="142"/>
      <c r="C41" s="142"/>
      <c r="D41" s="142"/>
      <c r="E41" s="143">
        <f>M13</f>
        <v>0.40000000008149073</v>
      </c>
      <c r="F41" s="18"/>
      <c r="G41" s="83"/>
      <c r="H41" s="89"/>
      <c r="I41" s="91"/>
      <c r="J41" s="70"/>
      <c r="K41" s="102"/>
      <c r="L41" s="89"/>
      <c r="M41" s="32"/>
      <c r="P41" s="19"/>
      <c r="Q41" s="58"/>
      <c r="R41" s="19"/>
      <c r="S41" s="19"/>
      <c r="T41" s="19"/>
      <c r="U41" s="19"/>
      <c r="V41" s="19"/>
    </row>
    <row r="42" spans="1:29" s="14" customFormat="1" ht="18">
      <c r="A42" s="142" t="s">
        <v>25</v>
      </c>
      <c r="B42" s="142"/>
      <c r="C42" s="142"/>
      <c r="D42" s="142"/>
      <c r="E42" s="143">
        <v>0</v>
      </c>
      <c r="F42" s="18"/>
      <c r="G42" s="69"/>
      <c r="H42" s="80"/>
      <c r="I42" s="90"/>
      <c r="J42" s="70"/>
      <c r="K42" s="74"/>
      <c r="L42" s="70"/>
      <c r="M42" s="70"/>
      <c r="N42" s="18"/>
      <c r="O42" s="18"/>
      <c r="P42" s="236" t="s">
        <v>53</v>
      </c>
      <c r="Q42" s="237"/>
      <c r="R42" s="237"/>
      <c r="S42" s="237"/>
      <c r="T42" s="237"/>
      <c r="U42" s="237"/>
      <c r="V42" s="238"/>
    </row>
    <row r="43" spans="1:29" s="14" customFormat="1" ht="19">
      <c r="A43" s="142" t="s">
        <v>26</v>
      </c>
      <c r="B43" s="142"/>
      <c r="C43" s="142"/>
      <c r="D43" s="142"/>
      <c r="E43" s="143">
        <f>R33</f>
        <v>45.099999999685679</v>
      </c>
      <c r="F43" s="18"/>
      <c r="G43" s="77"/>
      <c r="H43" s="88"/>
      <c r="I43" s="74"/>
      <c r="J43" s="80"/>
      <c r="K43" s="79"/>
      <c r="L43" s="89"/>
      <c r="M43" s="78"/>
      <c r="P43" s="120" t="s">
        <v>49</v>
      </c>
      <c r="Q43" s="120">
        <v>731</v>
      </c>
      <c r="R43" s="119" t="s">
        <v>62</v>
      </c>
      <c r="S43" s="205" t="s">
        <v>89</v>
      </c>
      <c r="T43" s="119" t="s">
        <v>88</v>
      </c>
      <c r="U43" s="121" t="s">
        <v>90</v>
      </c>
      <c r="V43" s="206">
        <f>(T43-R43)*24</f>
        <v>1.6833333332324401</v>
      </c>
    </row>
    <row r="44" spans="1:29" s="14" customFormat="1" ht="18">
      <c r="A44" s="228" t="s">
        <v>27</v>
      </c>
      <c r="B44" s="228"/>
      <c r="C44" s="228"/>
      <c r="D44" s="228"/>
      <c r="E44" s="143">
        <f>(E39)/(E39+E40+E42+E43)</f>
        <v>0.98276696418975062</v>
      </c>
      <c r="F44" s="18"/>
      <c r="G44" s="87"/>
      <c r="H44" s="87"/>
      <c r="I44" s="32"/>
      <c r="J44" s="32"/>
      <c r="K44" s="75"/>
      <c r="L44" s="74"/>
      <c r="M44" s="32"/>
      <c r="N44" s="18"/>
      <c r="O44" s="18"/>
      <c r="P44" s="105"/>
      <c r="Q44" s="105"/>
      <c r="R44" s="106"/>
      <c r="S44" s="110"/>
      <c r="T44" s="106"/>
      <c r="U44" s="131"/>
      <c r="V44" s="107"/>
    </row>
    <row r="45" spans="1:29" ht="39.75" customHeight="1">
      <c r="A45" s="39"/>
      <c r="B45" s="40"/>
      <c r="C45" s="40"/>
      <c r="D45" s="40"/>
      <c r="E45" s="40"/>
      <c r="F45" s="40"/>
      <c r="G45" s="32"/>
      <c r="H45" s="65"/>
      <c r="I45" s="72"/>
      <c r="J45" s="64"/>
      <c r="K45" s="75"/>
      <c r="L45" s="66"/>
      <c r="M45" s="32"/>
      <c r="N45" s="14"/>
      <c r="O45" s="53"/>
      <c r="P45" s="105"/>
      <c r="Q45" s="105"/>
      <c r="R45" s="109"/>
      <c r="S45" s="110"/>
      <c r="T45" s="109"/>
      <c r="U45" s="108"/>
      <c r="V45" s="107"/>
      <c r="W45" s="53"/>
      <c r="X45" s="53"/>
      <c r="Y45" s="53"/>
      <c r="Z45" s="53"/>
      <c r="AA45" s="53"/>
      <c r="AB45" s="53"/>
      <c r="AC45" s="53"/>
    </row>
    <row r="46" spans="1:29" ht="24.75" customHeight="1">
      <c r="A46" s="229"/>
      <c r="B46" s="229"/>
      <c r="C46" s="85"/>
      <c r="D46" s="85"/>
      <c r="E46" s="230"/>
      <c r="F46" s="230"/>
      <c r="G46" s="17"/>
      <c r="H46" s="229"/>
      <c r="I46" s="229"/>
      <c r="J46" s="45"/>
      <c r="K46" s="45"/>
      <c r="L46" s="95"/>
      <c r="M46" s="94"/>
      <c r="N46" s="14"/>
      <c r="O46" s="53"/>
      <c r="P46" s="242" t="s">
        <v>50</v>
      </c>
      <c r="Q46" s="242"/>
      <c r="R46" s="242"/>
      <c r="S46" s="242"/>
      <c r="T46" s="242"/>
      <c r="U46" s="242"/>
      <c r="V46" s="242"/>
      <c r="W46" s="53"/>
      <c r="X46" s="53"/>
      <c r="Y46" s="53"/>
      <c r="Z46" s="53"/>
      <c r="AA46" s="53"/>
      <c r="AB46" s="53"/>
      <c r="AC46" s="53"/>
    </row>
    <row r="47" spans="1:29" ht="39.75" customHeight="1">
      <c r="A47" s="17"/>
      <c r="B47" s="17"/>
      <c r="C47" s="44"/>
      <c r="D47" s="44"/>
      <c r="E47" s="44"/>
      <c r="F47" s="44"/>
      <c r="G47" s="17"/>
      <c r="H47" s="40"/>
      <c r="I47" s="71"/>
      <c r="J47" s="40"/>
      <c r="K47" s="40"/>
      <c r="L47" s="40"/>
      <c r="M47" s="40"/>
      <c r="N47" s="14"/>
      <c r="O47" s="53"/>
      <c r="P47" s="122"/>
      <c r="Q47" s="122"/>
      <c r="R47" s="123"/>
      <c r="S47" s="124"/>
      <c r="T47" s="123"/>
      <c r="U47" s="121"/>
      <c r="V47" s="125"/>
      <c r="W47" s="53"/>
      <c r="X47" s="53"/>
      <c r="Y47" s="53"/>
      <c r="Z47" s="53"/>
      <c r="AA47" s="53"/>
      <c r="AB47" s="53"/>
      <c r="AC47" s="53"/>
    </row>
    <row r="48" spans="1:29" ht="18.75" customHeight="1">
      <c r="A48" s="229"/>
      <c r="B48" s="229"/>
      <c r="C48" s="229"/>
      <c r="D48" s="229"/>
      <c r="E48" s="84"/>
      <c r="F48" s="84"/>
      <c r="G48" s="38"/>
      <c r="H48" s="229"/>
      <c r="I48" s="229"/>
      <c r="J48" s="96"/>
      <c r="K48" s="45"/>
      <c r="L48" s="45"/>
      <c r="M48" s="40"/>
      <c r="N48" s="14"/>
      <c r="O48" s="53"/>
      <c r="P48" s="19"/>
      <c r="R48" s="19"/>
      <c r="S48" s="19"/>
      <c r="T48" s="19"/>
      <c r="U48" s="19"/>
      <c r="V48" s="19"/>
      <c r="W48" s="53"/>
      <c r="X48" s="53"/>
      <c r="Y48" s="53"/>
      <c r="Z48" s="53"/>
      <c r="AA48" s="53"/>
      <c r="AB48" s="53"/>
      <c r="AC48" s="53"/>
    </row>
    <row r="49" spans="1:29" ht="18.75" customHeight="1">
      <c r="A49" s="17"/>
      <c r="B49" s="17"/>
      <c r="C49" s="239"/>
      <c r="D49" s="239"/>
      <c r="E49" s="17"/>
      <c r="F49" s="17"/>
      <c r="G49" s="17"/>
      <c r="H49" s="40"/>
      <c r="I49" s="71"/>
      <c r="J49" s="226"/>
      <c r="K49" s="226"/>
      <c r="L49" s="226"/>
      <c r="M49" s="40"/>
      <c r="N49" s="14"/>
      <c r="O49" s="53"/>
      <c r="P49" s="243" t="s">
        <v>51</v>
      </c>
      <c r="Q49" s="244"/>
      <c r="R49" s="244"/>
      <c r="S49" s="244"/>
      <c r="T49" s="244"/>
      <c r="U49" s="244"/>
      <c r="V49" s="245"/>
      <c r="W49" s="53"/>
      <c r="X49" s="53"/>
      <c r="Y49" s="53"/>
      <c r="Z49" s="53"/>
      <c r="AA49" s="53"/>
      <c r="AB49" s="53"/>
      <c r="AC49" s="53"/>
    </row>
    <row r="50" spans="1:29" ht="19">
      <c r="A50" s="38"/>
      <c r="B50" s="38"/>
      <c r="C50" s="38"/>
      <c r="D50" s="38"/>
      <c r="E50" s="38"/>
      <c r="F50" s="38"/>
      <c r="G50" s="38"/>
      <c r="H50" s="40"/>
      <c r="I50" s="71"/>
      <c r="J50" s="40"/>
      <c r="K50" s="40"/>
      <c r="L50" s="40"/>
      <c r="M50" s="40"/>
      <c r="N50" s="14"/>
      <c r="O50" s="53"/>
      <c r="P50" s="122"/>
      <c r="Q50" s="122"/>
      <c r="R50" s="123"/>
      <c r="S50" s="124"/>
      <c r="T50" s="123"/>
      <c r="U50" s="121"/>
      <c r="V50" s="125"/>
      <c r="W50" s="53"/>
      <c r="X50" s="53"/>
      <c r="Y50" s="53"/>
      <c r="Z50" s="53"/>
      <c r="AA50" s="53"/>
      <c r="AB50" s="53"/>
      <c r="AC50" s="53"/>
    </row>
    <row r="51" spans="1:29" ht="16">
      <c r="A51" s="41"/>
      <c r="B51" s="19"/>
      <c r="C51" s="19"/>
      <c r="D51" s="19"/>
      <c r="E51" s="19"/>
      <c r="F51" s="19"/>
      <c r="L51"/>
      <c r="M51" s="19"/>
      <c r="N51" s="14"/>
      <c r="O51" s="53"/>
      <c r="P51" s="19"/>
      <c r="R51" s="19"/>
      <c r="S51" s="19"/>
      <c r="T51" s="19"/>
      <c r="U51" s="19"/>
      <c r="V51" s="19"/>
      <c r="W51" s="54"/>
      <c r="X51" s="53"/>
      <c r="Y51" s="53"/>
      <c r="Z51" s="53"/>
      <c r="AA51" s="53"/>
      <c r="AB51" s="53"/>
      <c r="AC51" s="53"/>
    </row>
    <row r="52" spans="1:29" ht="47">
      <c r="A52" s="14"/>
      <c r="B52" s="14"/>
      <c r="C52" s="14"/>
      <c r="D52" s="14"/>
      <c r="E52" s="14"/>
      <c r="F52" s="14"/>
      <c r="G52" s="14"/>
      <c r="H52" s="68"/>
      <c r="L52"/>
      <c r="M52" s="14"/>
      <c r="N52" s="14"/>
      <c r="P52" s="232"/>
      <c r="Q52" s="233"/>
      <c r="R52" s="233"/>
      <c r="S52" s="233"/>
      <c r="T52" s="233"/>
      <c r="U52" s="233"/>
      <c r="V52" s="234"/>
      <c r="W52" s="53"/>
      <c r="X52" s="53"/>
      <c r="Y52" s="53"/>
      <c r="Z52" s="53"/>
      <c r="AA52" s="53"/>
      <c r="AB52" s="53"/>
      <c r="AC52" s="53"/>
    </row>
    <row r="53" spans="1:29" ht="18">
      <c r="H53" s="240"/>
      <c r="I53" s="241"/>
      <c r="J53" s="241"/>
      <c r="K53" s="241"/>
      <c r="O53" s="53"/>
      <c r="P53" s="120"/>
      <c r="Q53" s="120"/>
      <c r="R53" s="119"/>
      <c r="S53" s="124"/>
      <c r="T53" s="119"/>
      <c r="U53" s="126"/>
      <c r="V53" s="127"/>
      <c r="W53" s="53"/>
      <c r="X53" s="53"/>
      <c r="Y53" s="53"/>
      <c r="Z53" s="53"/>
      <c r="AA53" s="53"/>
      <c r="AB53" s="53"/>
      <c r="AC53" s="53"/>
    </row>
    <row r="54" spans="1:29">
      <c r="H54" s="241"/>
      <c r="I54" s="241"/>
      <c r="J54" s="241"/>
      <c r="K54" s="241"/>
      <c r="O54" s="53"/>
      <c r="P54" s="14"/>
      <c r="Q54" s="76"/>
      <c r="R54" s="14"/>
      <c r="S54" s="14"/>
      <c r="T54" s="14"/>
      <c r="U54" s="14"/>
      <c r="V54" s="14"/>
      <c r="W54" s="53"/>
      <c r="X54" s="55"/>
      <c r="Y54" s="53"/>
      <c r="Z54" s="53"/>
      <c r="AA54" s="53"/>
      <c r="AB54" s="53"/>
      <c r="AC54" s="53"/>
    </row>
    <row r="55" spans="1:29">
      <c r="I55" s="58"/>
      <c r="J55" s="19"/>
      <c r="K55" s="19"/>
      <c r="O55" s="53"/>
      <c r="P55" s="14"/>
      <c r="Q55" s="76"/>
      <c r="R55" s="14"/>
      <c r="S55" s="14"/>
      <c r="T55" s="14"/>
      <c r="U55" s="14"/>
      <c r="V55" s="14"/>
      <c r="W55" s="53"/>
      <c r="X55" s="53"/>
      <c r="Y55" s="53"/>
      <c r="Z55" s="53"/>
      <c r="AA55" s="53"/>
      <c r="AB55" s="53"/>
      <c r="AC55" s="53"/>
    </row>
    <row r="56" spans="1:29" ht="18">
      <c r="O56" s="53"/>
      <c r="P56" s="231"/>
      <c r="Q56" s="231"/>
      <c r="R56" s="231"/>
      <c r="S56" s="231"/>
      <c r="T56" s="231"/>
      <c r="U56" s="231"/>
      <c r="V56" s="231"/>
      <c r="W56" s="53"/>
      <c r="X56" s="53"/>
      <c r="Y56" s="53"/>
      <c r="Z56" s="53"/>
      <c r="AA56" s="53"/>
      <c r="AB56" s="53"/>
      <c r="AC56" s="53"/>
    </row>
    <row r="57" spans="1:29" ht="18">
      <c r="O57" s="53"/>
      <c r="P57" s="105"/>
      <c r="Q57" s="105"/>
      <c r="R57" s="106"/>
      <c r="S57" s="111"/>
      <c r="T57" s="106"/>
      <c r="U57" s="112"/>
      <c r="V57" s="113"/>
      <c r="W57" s="53"/>
      <c r="X57" s="53"/>
      <c r="Y57" s="53"/>
      <c r="Z57" s="53"/>
      <c r="AA57" s="53"/>
      <c r="AB57" s="53"/>
      <c r="AC57" s="53"/>
    </row>
    <row r="58" spans="1:29">
      <c r="O58" s="53"/>
      <c r="P58" s="19"/>
      <c r="Q58" s="19"/>
      <c r="R58" s="19"/>
      <c r="S58" s="19"/>
      <c r="T58" s="19"/>
      <c r="U58" s="19"/>
      <c r="V58" s="19"/>
      <c r="W58" s="53"/>
      <c r="X58" s="53"/>
      <c r="Y58" s="53"/>
      <c r="Z58" s="53"/>
      <c r="AA58" s="53"/>
      <c r="AB58" s="53"/>
      <c r="AC58" s="53"/>
    </row>
    <row r="59" spans="1:29">
      <c r="O59" s="53"/>
      <c r="P59" s="19"/>
      <c r="Q59" s="19"/>
      <c r="R59" s="19"/>
      <c r="S59" s="19"/>
      <c r="T59" s="19"/>
      <c r="U59" s="19"/>
      <c r="V59" s="19"/>
      <c r="W59" s="53"/>
      <c r="X59" s="53"/>
      <c r="Y59" s="53"/>
      <c r="Z59" s="53"/>
      <c r="AA59" s="53"/>
      <c r="AB59" s="53"/>
      <c r="AC59" s="53"/>
    </row>
    <row r="60" spans="1:29">
      <c r="O60" s="53"/>
      <c r="P60" s="19"/>
      <c r="Q60" s="19"/>
      <c r="R60" s="19"/>
      <c r="S60" s="19"/>
      <c r="T60" s="19"/>
      <c r="U60" s="19"/>
      <c r="V60" s="19"/>
      <c r="W60" s="53"/>
      <c r="X60" s="53"/>
      <c r="Y60" s="53"/>
      <c r="Z60" s="53"/>
      <c r="AA60" s="53"/>
      <c r="AB60" s="53"/>
      <c r="AC60" s="53"/>
    </row>
    <row r="61" spans="1:29">
      <c r="O61" s="53"/>
      <c r="P61" s="19"/>
      <c r="Q61" s="19"/>
      <c r="R61" s="19"/>
      <c r="S61" s="19"/>
      <c r="T61" s="19"/>
      <c r="U61" s="19"/>
      <c r="V61" s="19"/>
      <c r="W61" s="53"/>
      <c r="X61" s="53"/>
      <c r="Y61" s="53"/>
      <c r="Z61" s="53"/>
      <c r="AA61" s="53"/>
      <c r="AB61" s="53"/>
      <c r="AC61" s="53"/>
    </row>
    <row r="62" spans="1:29">
      <c r="O62" s="53"/>
      <c r="P62" s="19"/>
      <c r="Q62" s="19"/>
      <c r="R62" s="19"/>
      <c r="S62" s="19"/>
      <c r="T62" s="19"/>
      <c r="U62" s="19"/>
      <c r="V62" s="19"/>
      <c r="W62" s="53"/>
      <c r="X62" s="53"/>
      <c r="Y62" s="53"/>
      <c r="Z62" s="53"/>
      <c r="AA62" s="53"/>
      <c r="AB62" s="53"/>
      <c r="AC62" s="53"/>
    </row>
    <row r="63" spans="1:29">
      <c r="O63" s="53"/>
      <c r="P63" s="19"/>
      <c r="Q63" s="19"/>
      <c r="R63" s="19"/>
      <c r="S63" s="19"/>
      <c r="T63" s="19"/>
      <c r="U63" s="19"/>
      <c r="V63" s="19"/>
      <c r="W63" s="53"/>
      <c r="X63" s="53"/>
      <c r="Y63" s="53"/>
      <c r="Z63" s="53"/>
      <c r="AA63" s="53"/>
      <c r="AB63" s="53"/>
      <c r="AC63" s="53"/>
    </row>
    <row r="64" spans="1:29">
      <c r="P64" s="19"/>
      <c r="Q64" s="19"/>
      <c r="R64" s="19"/>
      <c r="S64" s="19"/>
      <c r="T64" s="19"/>
      <c r="U64" s="19"/>
      <c r="V64" s="19"/>
      <c r="W64" s="14"/>
      <c r="X64" s="14"/>
      <c r="Y64" s="14"/>
      <c r="Z64" s="14"/>
      <c r="AA64" s="14"/>
    </row>
    <row r="65" spans="16:27">
      <c r="P65" s="19"/>
      <c r="Q65" s="19"/>
      <c r="R65" s="19"/>
      <c r="S65" s="19"/>
      <c r="T65" s="19"/>
      <c r="U65" s="19"/>
      <c r="V65" s="19"/>
      <c r="W65" s="14"/>
      <c r="X65" s="14"/>
      <c r="Y65" s="14"/>
      <c r="Z65" s="14"/>
      <c r="AA65" s="14"/>
    </row>
    <row r="66" spans="16:27">
      <c r="P66" s="19"/>
      <c r="Q66" s="19"/>
      <c r="R66" s="19"/>
      <c r="S66" s="19"/>
      <c r="T66" s="19"/>
      <c r="U66" s="19"/>
      <c r="V66" s="19"/>
      <c r="W66" s="14"/>
      <c r="X66" s="14"/>
      <c r="Y66" s="14"/>
      <c r="Z66" s="14"/>
      <c r="AA66" s="14"/>
    </row>
    <row r="67" spans="16:27">
      <c r="P67" s="19"/>
      <c r="Q67" s="19"/>
      <c r="R67" s="19"/>
      <c r="S67" s="19"/>
      <c r="T67" s="19"/>
      <c r="U67" s="19"/>
      <c r="V67" s="19"/>
      <c r="W67" s="14"/>
      <c r="X67" s="14"/>
      <c r="Y67" s="14"/>
      <c r="Z67" s="14"/>
      <c r="AA67" s="14"/>
    </row>
    <row r="68" spans="16:27">
      <c r="P68" s="19"/>
      <c r="Q68" s="19"/>
      <c r="R68" s="19"/>
      <c r="S68" s="19"/>
      <c r="T68" s="19"/>
      <c r="U68" s="19"/>
      <c r="V68" s="19"/>
      <c r="W68" s="14"/>
      <c r="X68" s="14"/>
      <c r="Y68" s="14"/>
      <c r="Z68" s="14"/>
      <c r="AA68" s="14"/>
    </row>
    <row r="69" spans="16:27">
      <c r="P69" s="19"/>
      <c r="Q69" s="19"/>
      <c r="R69" s="19"/>
      <c r="S69" s="19"/>
      <c r="T69" s="19"/>
      <c r="U69" s="19"/>
      <c r="V69" s="19"/>
    </row>
    <row r="70" spans="16:27">
      <c r="S70" s="20">
        <f>DATE(2026, 3,1)</f>
        <v>46082</v>
      </c>
      <c r="T70" s="21"/>
      <c r="U70" s="22">
        <f>DATE(2026,1,1)</f>
        <v>46023</v>
      </c>
      <c r="V70" s="23" t="s">
        <v>36</v>
      </c>
    </row>
    <row r="71" spans="16:27">
      <c r="S71" s="24"/>
      <c r="T71" s="24"/>
      <c r="U71" s="25">
        <f>DATE(2026,2,1)</f>
        <v>46054</v>
      </c>
      <c r="V71" s="26" t="s">
        <v>29</v>
      </c>
    </row>
    <row r="72" spans="16:27">
      <c r="S72" s="24"/>
      <c r="T72" s="24"/>
      <c r="U72" s="25"/>
      <c r="V72" s="26"/>
    </row>
    <row r="73" spans="16:27">
      <c r="S73" s="24"/>
      <c r="T73" s="24"/>
      <c r="U73" s="25"/>
      <c r="V73" s="26"/>
    </row>
    <row r="74" spans="16:27">
      <c r="S74" s="21"/>
      <c r="T74" s="21"/>
      <c r="U74" s="25">
        <f>DATE(2026,3,1)</f>
        <v>46082</v>
      </c>
      <c r="V74" s="26" t="s">
        <v>30</v>
      </c>
    </row>
    <row r="75" spans="16:27">
      <c r="S75" s="21"/>
      <c r="T75" s="21"/>
      <c r="U75" s="25">
        <f>DATE(2026,4,1)</f>
        <v>46113</v>
      </c>
      <c r="V75" s="26" t="s">
        <v>40</v>
      </c>
    </row>
    <row r="76" spans="16:27">
      <c r="S76" s="24"/>
      <c r="T76" s="24"/>
      <c r="U76" s="22">
        <f>DATE(2026,5,1)</f>
        <v>46143</v>
      </c>
      <c r="V76" s="23" t="s">
        <v>39</v>
      </c>
    </row>
    <row r="77" spans="16:27">
      <c r="S77" s="24"/>
      <c r="T77" s="24"/>
      <c r="U77" s="22"/>
      <c r="V77" s="23"/>
    </row>
    <row r="78" spans="16:27">
      <c r="S78" s="21"/>
      <c r="T78" s="21"/>
      <c r="U78" s="22">
        <f>DATE(2026,6,1)</f>
        <v>46174</v>
      </c>
      <c r="V78" s="23" t="s">
        <v>31</v>
      </c>
    </row>
    <row r="79" spans="16:27">
      <c r="S79" s="21"/>
      <c r="T79" s="21"/>
      <c r="U79" s="22"/>
      <c r="V79" s="23"/>
    </row>
    <row r="80" spans="16:27">
      <c r="S80" s="21"/>
      <c r="T80" s="21"/>
      <c r="U80" s="22">
        <f>DATE(2026,7,1)</f>
        <v>46204</v>
      </c>
      <c r="V80" s="23" t="s">
        <v>32</v>
      </c>
    </row>
    <row r="81" spans="19:22">
      <c r="S81" s="21"/>
      <c r="T81" s="21"/>
      <c r="U81" s="25">
        <f>DATE(2026,8,1)</f>
        <v>46235</v>
      </c>
      <c r="V81" s="26" t="s">
        <v>33</v>
      </c>
    </row>
    <row r="82" spans="19:22">
      <c r="S82" s="21"/>
      <c r="T82" s="21"/>
      <c r="U82" s="22">
        <f>DATE(2026,9,1)</f>
        <v>46266</v>
      </c>
      <c r="V82" s="23" t="s">
        <v>34</v>
      </c>
    </row>
    <row r="83" spans="19:22">
      <c r="S83" s="21"/>
      <c r="T83" s="21"/>
      <c r="U83" s="22">
        <f>DATE(2026,10,1)</f>
        <v>46296</v>
      </c>
      <c r="V83" s="23" t="s">
        <v>38</v>
      </c>
    </row>
    <row r="84" spans="19:22">
      <c r="S84" s="21"/>
      <c r="T84" s="21"/>
      <c r="U84" s="22">
        <f>DATE(2026,11,1)</f>
        <v>46327</v>
      </c>
      <c r="V84" s="23" t="s">
        <v>28</v>
      </c>
    </row>
    <row r="85" spans="19:22">
      <c r="S85" s="21"/>
      <c r="T85" s="21"/>
      <c r="U85" s="22">
        <f>DATE(2026,12,1)</f>
        <v>46357</v>
      </c>
      <c r="V85" s="23" t="s">
        <v>35</v>
      </c>
    </row>
  </sheetData>
  <mergeCells count="34">
    <mergeCell ref="P56:V56"/>
    <mergeCell ref="P52:V52"/>
    <mergeCell ref="A8:E8"/>
    <mergeCell ref="F8:I8"/>
    <mergeCell ref="A34:M34"/>
    <mergeCell ref="P42:V42"/>
    <mergeCell ref="A37:M37"/>
    <mergeCell ref="C49:D49"/>
    <mergeCell ref="H53:I54"/>
    <mergeCell ref="J53:K54"/>
    <mergeCell ref="P46:V46"/>
    <mergeCell ref="A35:M35"/>
    <mergeCell ref="A48:B48"/>
    <mergeCell ref="C48:D48"/>
    <mergeCell ref="P49:V49"/>
    <mergeCell ref="A44:B44"/>
    <mergeCell ref="J49:L49"/>
    <mergeCell ref="A4:B4"/>
    <mergeCell ref="C4:M4"/>
    <mergeCell ref="C5:D5"/>
    <mergeCell ref="G5:H5"/>
    <mergeCell ref="B7:C7"/>
    <mergeCell ref="E7:F7"/>
    <mergeCell ref="E6:F6"/>
    <mergeCell ref="C44:D44"/>
    <mergeCell ref="A46:B46"/>
    <mergeCell ref="E46:F46"/>
    <mergeCell ref="H46:I46"/>
    <mergeCell ref="H48:I48"/>
    <mergeCell ref="A1:M1"/>
    <mergeCell ref="A2:B2"/>
    <mergeCell ref="C2:M2"/>
    <mergeCell ref="C3:D3"/>
    <mergeCell ref="G3:H3"/>
  </mergeCells>
  <phoneticPr fontId="85" type="noConversion"/>
  <conditionalFormatting sqref="H1:H1048576">
    <cfRule type="duplicateValues" dxfId="0" priority="1"/>
  </conditionalFormatting>
  <printOptions horizontalCentered="1" verticalCentered="1"/>
  <pageMargins left="0.59055118110236227" right="0" top="0.55118110236220474" bottom="0" header="0" footer="0"/>
  <pageSetup paperSize="8" scale="7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1"/>
  <sheetViews>
    <sheetView showGridLines="0" topLeftCell="A7" workbookViewId="0">
      <selection activeCell="H21" sqref="H21"/>
    </sheetView>
  </sheetViews>
  <sheetFormatPr baseColWidth="10" defaultColWidth="9.1640625" defaultRowHeight="15"/>
  <cols>
    <col min="1" max="1" width="12.5" style="209" bestFit="1" customWidth="1"/>
    <col min="2" max="2" width="21.5" style="209" bestFit="1" customWidth="1"/>
    <col min="3" max="3" width="12.1640625" style="209" bestFit="1" customWidth="1"/>
    <col min="4" max="4" width="7.5" style="209" customWidth="1"/>
    <col min="5" max="5" width="8" style="209" customWidth="1"/>
    <col min="6" max="7" width="7" style="209" customWidth="1"/>
    <col min="8" max="8" width="15.1640625" style="209" bestFit="1" customWidth="1"/>
    <col min="9" max="9" width="18.1640625" style="209" bestFit="1" customWidth="1"/>
    <col min="10" max="10" width="36.5" style="209" bestFit="1" customWidth="1"/>
    <col min="11" max="11" width="6.33203125" style="209" customWidth="1"/>
    <col min="12" max="12" width="16.33203125" style="209" bestFit="1" customWidth="1"/>
    <col min="13" max="13" width="22.33203125" style="209" bestFit="1" customWidth="1"/>
    <col min="14" max="16384" width="9.1640625" style="209"/>
  </cols>
  <sheetData>
    <row r="1" spans="1:13">
      <c r="A1" s="247" t="s">
        <v>129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3">
      <c r="A2" s="246" t="s">
        <v>130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13">
      <c r="A3" s="246" t="s">
        <v>131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</row>
    <row r="4" spans="1:13">
      <c r="A4" s="246" t="s">
        <v>132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</row>
    <row r="5" spans="1:13">
      <c r="A5" s="246" t="s">
        <v>133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</row>
    <row r="6" spans="1:13">
      <c r="A6" s="246" t="s">
        <v>134</v>
      </c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</row>
    <row r="7" spans="1:13">
      <c r="A7" s="246" t="s">
        <v>135</v>
      </c>
      <c r="B7" s="246"/>
      <c r="C7" s="246"/>
      <c r="D7" s="246"/>
      <c r="E7" s="246"/>
      <c r="F7" s="246"/>
      <c r="G7" s="246"/>
      <c r="H7" s="246"/>
      <c r="I7" s="246"/>
      <c r="J7" s="246"/>
      <c r="K7" s="246"/>
      <c r="L7" s="246"/>
    </row>
    <row r="8" spans="1:13">
      <c r="A8" s="246" t="s">
        <v>136</v>
      </c>
      <c r="B8" s="246"/>
      <c r="C8" s="246"/>
      <c r="D8" s="246"/>
      <c r="E8" s="246"/>
      <c r="F8" s="246"/>
      <c r="G8" s="246"/>
      <c r="H8" s="246"/>
      <c r="I8" s="246"/>
      <c r="J8" s="246"/>
      <c r="K8" s="246"/>
      <c r="L8" s="246"/>
    </row>
    <row r="9" spans="1:13">
      <c r="A9" s="246" t="s">
        <v>137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</row>
    <row r="10" spans="1:13">
      <c r="A10" s="246" t="s">
        <v>138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</row>
    <row r="11" spans="1:13">
      <c r="A11" s="246" t="s">
        <v>139</v>
      </c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</row>
    <row r="12" spans="1:13">
      <c r="A12" s="246" t="s">
        <v>140</v>
      </c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246"/>
    </row>
    <row r="13" spans="1:13">
      <c r="A13" s="246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</row>
    <row r="14" spans="1:13" ht="15" customHeight="1">
      <c r="A14" s="251" t="s">
        <v>141</v>
      </c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3"/>
    </row>
    <row r="15" spans="1:13" ht="15" customHeight="1">
      <c r="A15" s="210" t="s">
        <v>142</v>
      </c>
      <c r="B15" s="210" t="s">
        <v>143</v>
      </c>
      <c r="C15" s="210" t="s">
        <v>42</v>
      </c>
      <c r="D15" s="210" t="s">
        <v>43</v>
      </c>
      <c r="E15" s="254" t="s">
        <v>144</v>
      </c>
      <c r="F15" s="255"/>
      <c r="G15" s="254" t="s">
        <v>145</v>
      </c>
      <c r="H15" s="256"/>
      <c r="I15" s="256"/>
      <c r="J15" s="255"/>
      <c r="K15" s="254" t="s">
        <v>145</v>
      </c>
      <c r="L15" s="256"/>
      <c r="M15" s="255"/>
    </row>
    <row r="16" spans="1:13" ht="15" customHeight="1">
      <c r="A16" s="211" t="s">
        <v>146</v>
      </c>
      <c r="B16" s="211" t="s">
        <v>147</v>
      </c>
      <c r="C16" s="211" t="s">
        <v>148</v>
      </c>
      <c r="D16" s="211" t="s">
        <v>149</v>
      </c>
      <c r="E16" s="248" t="s">
        <v>150</v>
      </c>
      <c r="F16" s="249"/>
      <c r="G16" s="248" t="s">
        <v>151</v>
      </c>
      <c r="H16" s="250"/>
      <c r="I16" s="250"/>
      <c r="J16" s="249"/>
      <c r="K16" s="248" t="s">
        <v>152</v>
      </c>
      <c r="L16" s="250"/>
      <c r="M16" s="249"/>
    </row>
    <row r="17" spans="1:15" ht="15" customHeight="1">
      <c r="A17" s="211" t="s">
        <v>147</v>
      </c>
      <c r="B17" s="211" t="s">
        <v>148</v>
      </c>
      <c r="C17" s="211"/>
      <c r="D17" s="211"/>
      <c r="E17" s="257" t="s">
        <v>153</v>
      </c>
      <c r="F17" s="257" t="s">
        <v>154</v>
      </c>
      <c r="G17" s="257" t="s">
        <v>155</v>
      </c>
      <c r="H17" s="210" t="s">
        <v>156</v>
      </c>
      <c r="I17" s="210" t="s">
        <v>156</v>
      </c>
      <c r="J17" s="257" t="s">
        <v>157</v>
      </c>
      <c r="K17" s="257" t="s">
        <v>155</v>
      </c>
      <c r="L17" s="210" t="s">
        <v>158</v>
      </c>
      <c r="M17" s="210" t="s">
        <v>158</v>
      </c>
    </row>
    <row r="18" spans="1:15" ht="16">
      <c r="A18" s="212"/>
      <c r="B18" s="212"/>
      <c r="C18" s="212"/>
      <c r="D18" s="212"/>
      <c r="E18" s="258"/>
      <c r="F18" s="258"/>
      <c r="G18" s="258"/>
      <c r="H18" s="212" t="s">
        <v>159</v>
      </c>
      <c r="I18" s="212" t="s">
        <v>160</v>
      </c>
      <c r="J18" s="258"/>
      <c r="K18" s="258"/>
      <c r="L18" s="212" t="s">
        <v>161</v>
      </c>
      <c r="M18" s="212" t="s">
        <v>162</v>
      </c>
    </row>
    <row r="19" spans="1:15">
      <c r="A19" s="213">
        <v>1</v>
      </c>
      <c r="B19" s="213">
        <v>2</v>
      </c>
      <c r="C19" s="213">
        <v>3</v>
      </c>
      <c r="D19" s="213">
        <v>4</v>
      </c>
      <c r="E19" s="213">
        <v>5</v>
      </c>
      <c r="F19" s="213">
        <v>6</v>
      </c>
      <c r="G19" s="213">
        <v>7</v>
      </c>
      <c r="H19" s="213">
        <v>8</v>
      </c>
      <c r="I19" s="213">
        <v>9</v>
      </c>
      <c r="J19" s="213">
        <v>10</v>
      </c>
      <c r="K19" s="213">
        <v>11</v>
      </c>
      <c r="L19" s="213">
        <v>12</v>
      </c>
      <c r="M19" s="213">
        <v>13</v>
      </c>
    </row>
    <row r="20" spans="1:15" ht="16">
      <c r="A20" s="214" t="s">
        <v>163</v>
      </c>
      <c r="B20" s="214" t="s">
        <v>164</v>
      </c>
      <c r="C20" s="214" t="s">
        <v>49</v>
      </c>
      <c r="D20" s="214" t="s">
        <v>165</v>
      </c>
      <c r="E20" s="214">
        <v>14425</v>
      </c>
      <c r="F20" s="214">
        <v>734</v>
      </c>
      <c r="G20" s="214">
        <v>734</v>
      </c>
      <c r="H20" s="214">
        <v>494</v>
      </c>
      <c r="I20" s="214">
        <v>76</v>
      </c>
      <c r="J20" s="214">
        <v>19</v>
      </c>
      <c r="K20" s="214">
        <v>10</v>
      </c>
      <c r="L20" s="214">
        <v>0</v>
      </c>
      <c r="M20" s="214">
        <v>10</v>
      </c>
      <c r="O20" s="215"/>
    </row>
    <row r="21" spans="1:15" ht="16">
      <c r="A21" s="214" t="s">
        <v>163</v>
      </c>
      <c r="B21" s="214" t="s">
        <v>164</v>
      </c>
      <c r="C21" s="214" t="s">
        <v>49</v>
      </c>
      <c r="D21" s="214" t="s">
        <v>166</v>
      </c>
      <c r="E21" s="214">
        <v>14425</v>
      </c>
      <c r="F21" s="214">
        <v>734</v>
      </c>
      <c r="G21" s="214">
        <v>734</v>
      </c>
      <c r="H21" s="214">
        <v>494</v>
      </c>
      <c r="I21" s="214">
        <v>76</v>
      </c>
      <c r="J21" s="214">
        <v>19</v>
      </c>
      <c r="K21" s="214">
        <v>10</v>
      </c>
      <c r="L21" s="214">
        <v>0</v>
      </c>
      <c r="M21" s="214">
        <v>10</v>
      </c>
      <c r="O21" s="215"/>
    </row>
    <row r="22" spans="1:15" ht="16">
      <c r="A22" s="214" t="s">
        <v>163</v>
      </c>
      <c r="B22" s="214" t="s">
        <v>164</v>
      </c>
      <c r="C22" s="214" t="s">
        <v>49</v>
      </c>
      <c r="D22" s="214" t="s">
        <v>167</v>
      </c>
      <c r="E22" s="214">
        <v>15113</v>
      </c>
      <c r="F22" s="214">
        <v>741</v>
      </c>
      <c r="G22" s="214">
        <v>741</v>
      </c>
      <c r="H22" s="214">
        <v>485</v>
      </c>
      <c r="I22" s="214">
        <v>85</v>
      </c>
      <c r="J22" s="214">
        <v>8</v>
      </c>
      <c r="K22" s="214">
        <v>3</v>
      </c>
      <c r="L22" s="214">
        <v>0</v>
      </c>
      <c r="M22" s="214">
        <v>3</v>
      </c>
      <c r="O22" s="215"/>
    </row>
    <row r="23" spans="1:15" ht="16">
      <c r="A23" s="214" t="s">
        <v>163</v>
      </c>
      <c r="B23" s="214" t="s">
        <v>164</v>
      </c>
      <c r="C23" s="214" t="s">
        <v>49</v>
      </c>
      <c r="D23" s="214" t="s">
        <v>168</v>
      </c>
      <c r="E23" s="214">
        <v>15113</v>
      </c>
      <c r="F23" s="214">
        <v>741</v>
      </c>
      <c r="G23" s="214">
        <v>741</v>
      </c>
      <c r="H23" s="214">
        <v>485</v>
      </c>
      <c r="I23" s="214">
        <v>85</v>
      </c>
      <c r="J23" s="214">
        <v>8</v>
      </c>
      <c r="K23" s="214">
        <v>3</v>
      </c>
      <c r="L23" s="214">
        <v>0</v>
      </c>
      <c r="M23" s="214">
        <v>3</v>
      </c>
      <c r="O23" s="215"/>
    </row>
    <row r="24" spans="1:15" ht="16">
      <c r="A24" s="214" t="s">
        <v>163</v>
      </c>
      <c r="B24" s="214" t="s">
        <v>164</v>
      </c>
      <c r="C24" s="214" t="s">
        <v>49</v>
      </c>
      <c r="D24" s="214" t="s">
        <v>169</v>
      </c>
      <c r="E24" s="214">
        <v>14087</v>
      </c>
      <c r="F24" s="214">
        <v>744</v>
      </c>
      <c r="G24" s="214">
        <v>744</v>
      </c>
      <c r="H24" s="214">
        <v>448</v>
      </c>
      <c r="I24" s="214">
        <v>116</v>
      </c>
      <c r="J24" s="214">
        <v>20</v>
      </c>
      <c r="K24" s="214">
        <v>0</v>
      </c>
      <c r="L24" s="214">
        <v>0</v>
      </c>
      <c r="M24" s="214">
        <v>0</v>
      </c>
      <c r="O24" s="215"/>
    </row>
    <row r="25" spans="1:15" ht="16">
      <c r="A25" s="214" t="s">
        <v>163</v>
      </c>
      <c r="B25" s="214" t="s">
        <v>164</v>
      </c>
      <c r="C25" s="214" t="s">
        <v>49</v>
      </c>
      <c r="D25" s="214" t="s">
        <v>170</v>
      </c>
      <c r="E25" s="214">
        <v>14087</v>
      </c>
      <c r="F25" s="214">
        <v>744</v>
      </c>
      <c r="G25" s="214">
        <v>744</v>
      </c>
      <c r="H25" s="214">
        <v>448</v>
      </c>
      <c r="I25" s="214">
        <v>116</v>
      </c>
      <c r="J25" s="214">
        <v>20</v>
      </c>
      <c r="K25" s="214">
        <v>0</v>
      </c>
      <c r="L25" s="214">
        <v>0</v>
      </c>
      <c r="M25" s="214">
        <v>0</v>
      </c>
      <c r="O25" s="215"/>
    </row>
    <row r="26" spans="1:15" ht="16">
      <c r="A26" s="214" t="s">
        <v>163</v>
      </c>
      <c r="B26" s="214" t="s">
        <v>164</v>
      </c>
      <c r="C26" s="214" t="s">
        <v>49</v>
      </c>
      <c r="D26" s="214" t="s">
        <v>171</v>
      </c>
      <c r="E26" s="214">
        <v>15888</v>
      </c>
      <c r="F26" s="214">
        <v>744</v>
      </c>
      <c r="G26" s="214">
        <v>744</v>
      </c>
      <c r="H26" s="214">
        <v>511</v>
      </c>
      <c r="I26" s="214">
        <v>74</v>
      </c>
      <c r="J26" s="214">
        <v>14</v>
      </c>
      <c r="K26" s="214">
        <v>0</v>
      </c>
      <c r="L26" s="214">
        <v>0</v>
      </c>
      <c r="M26" s="214">
        <v>0</v>
      </c>
      <c r="O26" s="215"/>
    </row>
    <row r="27" spans="1:15" ht="16">
      <c r="A27" s="214" t="s">
        <v>163</v>
      </c>
      <c r="B27" s="214" t="s">
        <v>164</v>
      </c>
      <c r="C27" s="214" t="s">
        <v>49</v>
      </c>
      <c r="D27" s="214" t="s">
        <v>172</v>
      </c>
      <c r="E27" s="214">
        <v>15888</v>
      </c>
      <c r="F27" s="214">
        <v>744</v>
      </c>
      <c r="G27" s="214">
        <v>744</v>
      </c>
      <c r="H27" s="214">
        <v>511</v>
      </c>
      <c r="I27" s="214">
        <v>74</v>
      </c>
      <c r="J27" s="214">
        <v>14</v>
      </c>
      <c r="K27" s="214">
        <v>0</v>
      </c>
      <c r="L27" s="214">
        <v>0</v>
      </c>
      <c r="M27" s="214">
        <v>0</v>
      </c>
      <c r="O27" s="215"/>
    </row>
    <row r="28" spans="1:15" ht="16">
      <c r="A28" s="214" t="s">
        <v>163</v>
      </c>
      <c r="B28" s="214" t="s">
        <v>164</v>
      </c>
      <c r="C28" s="214" t="s">
        <v>49</v>
      </c>
      <c r="D28" s="214" t="s">
        <v>173</v>
      </c>
      <c r="E28" s="214">
        <v>15628</v>
      </c>
      <c r="F28" s="214">
        <v>744</v>
      </c>
      <c r="G28" s="214">
        <v>744</v>
      </c>
      <c r="H28" s="214">
        <v>506</v>
      </c>
      <c r="I28" s="214">
        <v>95</v>
      </c>
      <c r="J28" s="214">
        <v>18</v>
      </c>
      <c r="K28" s="214">
        <v>0</v>
      </c>
      <c r="L28" s="214">
        <v>0</v>
      </c>
      <c r="M28" s="214">
        <v>0</v>
      </c>
      <c r="O28" s="215"/>
    </row>
    <row r="29" spans="1:15" ht="16">
      <c r="A29" s="214" t="s">
        <v>163</v>
      </c>
      <c r="B29" s="214" t="s">
        <v>164</v>
      </c>
      <c r="C29" s="214" t="s">
        <v>49</v>
      </c>
      <c r="D29" s="214" t="s">
        <v>174</v>
      </c>
      <c r="E29" s="214">
        <v>15628</v>
      </c>
      <c r="F29" s="214">
        <v>744</v>
      </c>
      <c r="G29" s="214">
        <v>744</v>
      </c>
      <c r="H29" s="214">
        <v>506</v>
      </c>
      <c r="I29" s="214">
        <v>95</v>
      </c>
      <c r="J29" s="214">
        <v>18</v>
      </c>
      <c r="K29" s="214">
        <v>0</v>
      </c>
      <c r="L29" s="214">
        <v>0</v>
      </c>
      <c r="M29" s="214">
        <v>0</v>
      </c>
      <c r="O29" s="215"/>
    </row>
    <row r="30" spans="1:15">
      <c r="E30" s="209">
        <f>SUM(E20:E29)/2</f>
        <v>75141</v>
      </c>
    </row>
    <row r="31" spans="1:15">
      <c r="E31" s="215">
        <f>E30/31/5</f>
        <v>484.78064516129035</v>
      </c>
    </row>
  </sheetData>
  <autoFilter ref="A19:M29" xr:uid="{00000000-0009-0000-0000-000002000000}"/>
  <mergeCells count="25">
    <mergeCell ref="E17:E18"/>
    <mergeCell ref="F17:F18"/>
    <mergeCell ref="G17:G18"/>
    <mergeCell ref="J17:J18"/>
    <mergeCell ref="K17:K18"/>
    <mergeCell ref="E16:F16"/>
    <mergeCell ref="G16:J16"/>
    <mergeCell ref="K16:M16"/>
    <mergeCell ref="A7:L7"/>
    <mergeCell ref="A8:L8"/>
    <mergeCell ref="A9:L9"/>
    <mergeCell ref="A10:L10"/>
    <mergeCell ref="A11:L11"/>
    <mergeCell ref="A12:L12"/>
    <mergeCell ref="A13:L13"/>
    <mergeCell ref="A14:M14"/>
    <mergeCell ref="E15:F15"/>
    <mergeCell ref="G15:J15"/>
    <mergeCell ref="K15:M15"/>
    <mergeCell ref="A6:L6"/>
    <mergeCell ref="A1:L1"/>
    <mergeCell ref="A2:L2"/>
    <mergeCell ref="A3:L3"/>
    <mergeCell ref="A4:L4"/>
    <mergeCell ref="A5:L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СТА за марта 2026 года</vt:lpstr>
      <vt:lpstr>Пробеги</vt:lpstr>
      <vt:lpstr>'СТА за марта 2026 года'!Область_печати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2026-04-16T08:50:57Z</dcterms:modified>
</cp:coreProperties>
</file>